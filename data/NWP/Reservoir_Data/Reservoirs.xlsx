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Willamette_Flow_Frequency_2021\common_data\"/>
    </mc:Choice>
  </mc:AlternateContent>
  <xr:revisionPtr revIDLastSave="0" documentId="13_ncr:1_{3EA18C73-FE82-4EF4-B3BB-175FCFC35AA5}" xr6:coauthVersionLast="47" xr6:coauthVersionMax="47" xr10:uidLastSave="{00000000-0000-0000-0000-000000000000}"/>
  <bookViews>
    <workbookView xWindow="28680" yWindow="-120" windowWidth="29040" windowHeight="16440" xr2:uid="{FC561D18-D4CD-4EFF-9AED-16460E500202}"/>
  </bookViews>
  <sheets>
    <sheet name="Reservoirs" sheetId="2" r:id="rId1"/>
  </sheets>
  <externalReferences>
    <externalReference r:id="rId2"/>
  </externalReferences>
  <definedNames>
    <definedName name="_xlnm._FilterDatabase" localSheetId="0" hidden="1">Reservoirs!$A$6:$G$17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  <c r="E16" i="2"/>
  <c r="E15" i="2"/>
  <c r="D15" i="2"/>
  <c r="E14" i="2"/>
  <c r="D14" i="2"/>
  <c r="E13" i="2"/>
  <c r="D13" i="2"/>
  <c r="E12" i="2"/>
  <c r="E11" i="2"/>
  <c r="D11" i="2"/>
  <c r="E10" i="2"/>
  <c r="D10" i="2"/>
  <c r="E9" i="2"/>
  <c r="D9" i="2"/>
  <c r="E8" i="2"/>
  <c r="D8" i="2"/>
  <c r="E7" i="2"/>
  <c r="D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Cahill</author>
  </authors>
  <commentList>
    <comment ref="D6" authorId="0" shapeId="0" xr:uid="{22014E07-8B99-44EC-A90F-5E9619EE5AEA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Intended to be the lowest operational outlet, not the minimum conservation. "RO Invert Elevation" from WillametteReservoirStatistics.xlsx unless otherwise notes</t>
        </r>
      </text>
    </comment>
    <comment ref="E6" authorId="0" shapeId="0" xr:uid="{7703FE8C-6CF1-4FE3-8C3F-AF5F8DBE2D98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"Full Pool" from WillametteReservoirStatistics.xlsx</t>
        </r>
      </text>
    </comment>
    <comment ref="F6" authorId="0" shapeId="0" xr:uid="{B8BE2FDC-7F18-445D-A446-015930C441B8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"Min Conservation Pool" from WillametteReservoirStatistics.xlsx</t>
        </r>
      </text>
    </comment>
    <comment ref="D12" authorId="0" shapeId="0" xr:uid="{43748031-8996-4C09-89BF-3329905CB58D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Diversion Tunnel Invert</t>
        </r>
      </text>
    </comment>
    <comment ref="D16" authorId="0" shapeId="0" xr:uid="{B74998C1-0D4D-4384-A8B6-4049C2E287F7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No ROs, Turbine Invert elevation. Also spillway crest.</t>
        </r>
      </text>
    </comment>
    <comment ref="D17" authorId="0" shapeId="0" xr:uid="{80A9B8BD-2B5B-47B7-A289-D2D0EBE3072A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Upper RO Invert</t>
        </r>
      </text>
    </comment>
  </commentList>
</comments>
</file>

<file path=xl/sharedStrings.xml><?xml version="1.0" encoding="utf-8"?>
<sst xmlns="http://schemas.openxmlformats.org/spreadsheetml/2006/main" count="33" uniqueCount="33">
  <si>
    <t>The top 5 lines of this sheet are reserved for descriptive comments. The headers should be in line 6 and data in row 7.</t>
  </si>
  <si>
    <t>OrderID</t>
  </si>
  <si>
    <t>Notes</t>
  </si>
  <si>
    <t>Hills Creek</t>
  </si>
  <si>
    <t>Lookout Point</t>
  </si>
  <si>
    <t>Fall Creek</t>
  </si>
  <si>
    <t>Dorena</t>
  </si>
  <si>
    <t>Cottage Grove</t>
  </si>
  <si>
    <t>Cougar</t>
  </si>
  <si>
    <t>Blue River</t>
  </si>
  <si>
    <t>Fern Ridge</t>
  </si>
  <si>
    <t>Green Peter</t>
  </si>
  <si>
    <t>Foster</t>
  </si>
  <si>
    <t>Detroit</t>
  </si>
  <si>
    <t>Has all reservoirs with significant storage (not reregs)</t>
  </si>
  <si>
    <t>ReservoirName</t>
  </si>
  <si>
    <t>CBT_Code</t>
  </si>
  <si>
    <t>MinElev</t>
  </si>
  <si>
    <t>MaxElev</t>
  </si>
  <si>
    <t>MinConElev</t>
  </si>
  <si>
    <t>HCR</t>
  </si>
  <si>
    <t>LOP</t>
  </si>
  <si>
    <t>FAL</t>
  </si>
  <si>
    <t>DOR</t>
  </si>
  <si>
    <t>COT</t>
  </si>
  <si>
    <t>CGR</t>
  </si>
  <si>
    <t>BLU</t>
  </si>
  <si>
    <t>FRN</t>
  </si>
  <si>
    <t>GPR</t>
  </si>
  <si>
    <t>FOS</t>
  </si>
  <si>
    <t>DET</t>
  </si>
  <si>
    <t>This is typically read by the scripts dealing with Synthetic inputs to ResSim and the starting pool storage.</t>
  </si>
  <si>
    <t>Contains key elevations used to calculate % of storage space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</si>
</sst>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EC-HY/WillametteQuickReference/WillametteReservoirStatistics202205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s"/>
      <sheetName val="flows"/>
      <sheetName val="Boat Ramps"/>
      <sheetName val="fill&amp;draft"/>
      <sheetName val="ramp rates"/>
      <sheetName val="MinFlow"/>
      <sheetName val="Schematic"/>
      <sheetName val="pool elevations"/>
      <sheetName val="Pool of Record"/>
      <sheetName val="May15 Stg"/>
      <sheetName val="RuleCurve"/>
      <sheetName val="FOS Fish Weir"/>
      <sheetName val="temps"/>
    </sheetNames>
    <sheetDataSet>
      <sheetData sheetId="0">
        <row r="4">
          <cell r="C4" t="str">
            <v>HCR</v>
          </cell>
          <cell r="D4" t="str">
            <v>LOP</v>
          </cell>
          <cell r="E4" t="str">
            <v>DEX</v>
          </cell>
          <cell r="F4" t="str">
            <v>FAL</v>
          </cell>
          <cell r="G4" t="str">
            <v>COT</v>
          </cell>
          <cell r="H4" t="str">
            <v>DOR</v>
          </cell>
          <cell r="I4" t="str">
            <v>FRN</v>
          </cell>
          <cell r="J4" t="str">
            <v>CGR</v>
          </cell>
          <cell r="K4" t="str">
            <v>BLU</v>
          </cell>
          <cell r="L4" t="str">
            <v>GPR</v>
          </cell>
          <cell r="M4" t="str">
            <v>FOS</v>
          </cell>
          <cell r="N4" t="str">
            <v>DET</v>
          </cell>
        </row>
        <row r="10">
          <cell r="C10">
            <v>1543</v>
          </cell>
          <cell r="D10">
            <v>929</v>
          </cell>
          <cell r="E10">
            <v>695</v>
          </cell>
          <cell r="F10">
            <v>834</v>
          </cell>
          <cell r="G10">
            <v>791</v>
          </cell>
          <cell r="H10">
            <v>835</v>
          </cell>
          <cell r="I10">
            <v>375.1</v>
          </cell>
          <cell r="J10">
            <v>1699</v>
          </cell>
          <cell r="K10">
            <v>1357</v>
          </cell>
          <cell r="L10">
            <v>1015</v>
          </cell>
          <cell r="M10">
            <v>641</v>
          </cell>
          <cell r="N10">
            <v>1569</v>
          </cell>
        </row>
        <row r="46">
          <cell r="C46">
            <v>1408.75</v>
          </cell>
          <cell r="D46">
            <v>724</v>
          </cell>
          <cell r="F46">
            <v>670</v>
          </cell>
          <cell r="G46">
            <v>719</v>
          </cell>
          <cell r="H46">
            <v>739</v>
          </cell>
          <cell r="I46">
            <v>340</v>
          </cell>
          <cell r="J46">
            <v>1478.75</v>
          </cell>
          <cell r="K46">
            <v>1132</v>
          </cell>
          <cell r="L46">
            <v>745</v>
          </cell>
          <cell r="N46" t="str">
            <v>2@1,335&amp;1260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2FD2-6A64-426A-9430-3B333C72098D}">
  <dimension ref="A1:G17"/>
  <sheetViews>
    <sheetView tabSelected="1"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A3" sqref="A3"/>
    </sheetView>
  </sheetViews>
  <sheetFormatPr defaultRowHeight="15" x14ac:dyDescent="0.25"/>
  <cols>
    <col min="2" max="2" width="16.7109375" customWidth="1"/>
    <col min="3" max="3" width="13.140625" customWidth="1"/>
    <col min="4" max="4" width="12.5703125" customWidth="1"/>
    <col min="5" max="5" width="12.140625" customWidth="1"/>
    <col min="6" max="6" width="14.42578125" customWidth="1"/>
  </cols>
  <sheetData>
    <row r="1" spans="1:7" x14ac:dyDescent="0.25">
      <c r="A1" t="s">
        <v>0</v>
      </c>
    </row>
    <row r="2" spans="1:7" x14ac:dyDescent="0.25">
      <c r="A2" t="s">
        <v>14</v>
      </c>
    </row>
    <row r="3" spans="1:7" x14ac:dyDescent="0.25">
      <c r="A3" t="s">
        <v>32</v>
      </c>
    </row>
    <row r="4" spans="1:7" x14ac:dyDescent="0.25">
      <c r="A4" t="s">
        <v>31</v>
      </c>
    </row>
    <row r="6" spans="1:7" x14ac:dyDescent="0.25">
      <c r="A6" t="s">
        <v>1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</v>
      </c>
    </row>
    <row r="7" spans="1:7" x14ac:dyDescent="0.25">
      <c r="A7">
        <v>1</v>
      </c>
      <c r="B7" s="1" t="s">
        <v>3</v>
      </c>
      <c r="C7" s="1" t="s">
        <v>20</v>
      </c>
      <c r="D7" s="1">
        <f>INDEX([1]stats!$C$46:$N$46,MATCH($C7, [1]stats!$C$4:$N$4,0))</f>
        <v>1408.75</v>
      </c>
      <c r="E7" s="1">
        <f>INDEX([1]stats!$C$10:$N$10,MATCH($C7, [1]stats!$C$4:$N$4,0))</f>
        <v>1543</v>
      </c>
      <c r="F7" s="1">
        <v>1448</v>
      </c>
    </row>
    <row r="8" spans="1:7" x14ac:dyDescent="0.25">
      <c r="A8">
        <v>2</v>
      </c>
      <c r="B8" t="s">
        <v>4</v>
      </c>
      <c r="C8" t="s">
        <v>21</v>
      </c>
      <c r="D8" s="1">
        <f>INDEX([1]stats!$C$46:$N$46,MATCH($C8, [1]stats!$C$4:$N$4,0))</f>
        <v>724</v>
      </c>
      <c r="E8" s="1">
        <f>INDEX([1]stats!$C$10:$N$10,MATCH($C8, [1]stats!$C$4:$N$4,0))</f>
        <v>929</v>
      </c>
      <c r="F8" s="1">
        <v>825</v>
      </c>
    </row>
    <row r="9" spans="1:7" x14ac:dyDescent="0.25">
      <c r="A9">
        <v>3</v>
      </c>
      <c r="B9" t="s">
        <v>5</v>
      </c>
      <c r="C9" t="s">
        <v>22</v>
      </c>
      <c r="D9" s="1">
        <f>INDEX([1]stats!$C$46:$N$46,MATCH($C9, [1]stats!$C$4:$N$4,0))</f>
        <v>670</v>
      </c>
      <c r="E9" s="1">
        <f>INDEX([1]stats!$C$10:$N$10,MATCH($C9, [1]stats!$C$4:$N$4,0))</f>
        <v>834</v>
      </c>
      <c r="F9" s="1">
        <v>728</v>
      </c>
    </row>
    <row r="10" spans="1:7" x14ac:dyDescent="0.25">
      <c r="A10">
        <v>4</v>
      </c>
      <c r="B10" t="s">
        <v>6</v>
      </c>
      <c r="C10" t="s">
        <v>23</v>
      </c>
      <c r="D10" s="1">
        <f>INDEX([1]stats!$C$46:$N$46,MATCH($C10, [1]stats!$C$4:$N$4,0))</f>
        <v>739</v>
      </c>
      <c r="E10" s="1">
        <f>INDEX([1]stats!$C$10:$N$10,MATCH($C10, [1]stats!$C$4:$N$4,0))</f>
        <v>835</v>
      </c>
      <c r="F10" s="1">
        <v>770.5</v>
      </c>
    </row>
    <row r="11" spans="1:7" x14ac:dyDescent="0.25">
      <c r="A11">
        <v>5</v>
      </c>
      <c r="B11" t="s">
        <v>7</v>
      </c>
      <c r="C11" t="s">
        <v>24</v>
      </c>
      <c r="D11" s="1">
        <f>INDEX([1]stats!$C$46:$N$46,MATCH($C11, [1]stats!$C$4:$N$4,0))</f>
        <v>719</v>
      </c>
      <c r="E11" s="1">
        <f>INDEX([1]stats!$C$10:$N$10,MATCH($C11, [1]stats!$C$4:$N$4,0))</f>
        <v>791</v>
      </c>
      <c r="F11" s="1">
        <v>750</v>
      </c>
    </row>
    <row r="12" spans="1:7" x14ac:dyDescent="0.25">
      <c r="A12">
        <v>6</v>
      </c>
      <c r="B12" t="s">
        <v>8</v>
      </c>
      <c r="C12" t="s">
        <v>25</v>
      </c>
      <c r="D12" s="1">
        <v>1290</v>
      </c>
      <c r="E12" s="1">
        <f>INDEX([1]stats!$C$10:$N$10,MATCH($C12, [1]stats!$C$4:$N$4,0))</f>
        <v>1699</v>
      </c>
      <c r="F12" s="1">
        <v>1532</v>
      </c>
    </row>
    <row r="13" spans="1:7" x14ac:dyDescent="0.25">
      <c r="A13">
        <v>7</v>
      </c>
      <c r="B13" t="s">
        <v>9</v>
      </c>
      <c r="C13" t="s">
        <v>26</v>
      </c>
      <c r="D13" s="1">
        <f>INDEX([1]stats!$C$46:$N$46,MATCH($C13, [1]stats!$C$4:$N$4,0))</f>
        <v>1132</v>
      </c>
      <c r="E13" s="1">
        <f>INDEX([1]stats!$C$10:$N$10,MATCH($C13, [1]stats!$C$4:$N$4,0))</f>
        <v>1357</v>
      </c>
      <c r="F13" s="1">
        <v>1180</v>
      </c>
    </row>
    <row r="14" spans="1:7" x14ac:dyDescent="0.25">
      <c r="A14">
        <v>8</v>
      </c>
      <c r="B14" t="s">
        <v>10</v>
      </c>
      <c r="C14" t="s">
        <v>27</v>
      </c>
      <c r="D14" s="1">
        <f>INDEX([1]stats!$C$46:$N$46,MATCH($C14, [1]stats!$C$4:$N$4,0))</f>
        <v>340</v>
      </c>
      <c r="E14" s="1">
        <f>INDEX([1]stats!$C$10:$N$10,MATCH($C14, [1]stats!$C$4:$N$4,0))</f>
        <v>375.1</v>
      </c>
      <c r="F14" s="1">
        <v>353</v>
      </c>
    </row>
    <row r="15" spans="1:7" x14ac:dyDescent="0.25">
      <c r="A15">
        <v>9</v>
      </c>
      <c r="B15" t="s">
        <v>11</v>
      </c>
      <c r="C15" t="s">
        <v>28</v>
      </c>
      <c r="D15" s="1">
        <f>INDEX([1]stats!$C$46:$N$46,MATCH($C15, [1]stats!$C$4:$N$4,0))</f>
        <v>745</v>
      </c>
      <c r="E15" s="1">
        <f>INDEX([1]stats!$C$10:$N$10,MATCH($C15, [1]stats!$C$4:$N$4,0))</f>
        <v>1015</v>
      </c>
      <c r="F15" s="1">
        <v>922</v>
      </c>
    </row>
    <row r="16" spans="1:7" x14ac:dyDescent="0.25">
      <c r="A16">
        <v>10</v>
      </c>
      <c r="B16" t="s">
        <v>12</v>
      </c>
      <c r="C16" t="s">
        <v>29</v>
      </c>
      <c r="D16" s="1">
        <v>596.79999999999995</v>
      </c>
      <c r="E16" s="1">
        <f>INDEX([1]stats!$C$10:$N$10,MATCH($C16, [1]stats!$C$4:$N$4,0))</f>
        <v>641</v>
      </c>
      <c r="F16" s="1">
        <v>613</v>
      </c>
    </row>
    <row r="17" spans="1:6" x14ac:dyDescent="0.25">
      <c r="A17">
        <v>11</v>
      </c>
      <c r="B17" t="s">
        <v>13</v>
      </c>
      <c r="C17" t="s">
        <v>30</v>
      </c>
      <c r="D17" s="1">
        <v>1335</v>
      </c>
      <c r="E17" s="1">
        <f>INDEX([1]stats!$C$10:$N$10,MATCH($C17, [1]stats!$C$4:$N$4,0))</f>
        <v>1569</v>
      </c>
      <c r="F17" s="1">
        <v>1450</v>
      </c>
    </row>
  </sheetData>
  <autoFilter ref="A6:G17" xr:uid="{D5329979-E54C-48B7-8E55-3C9F10950753}"/>
  <pageMargins left="0.7" right="0.7" top="0.75" bottom="0.75" header="0.3" footer="0.3"/>
  <pageSetup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Reservoirs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Cahill</dc:creator>
  <cp:lastModifiedBy>Ryan Cahill</cp:lastModifiedBy>
  <dcterms:created xsi:type="dcterms:W3CDTF">2022-03-10T17:38:40Z</dcterms:created>
  <dcterms:modified xsi:type="dcterms:W3CDTF">2022-11-23T22:09:30Z</dcterms:modified>
</cp:coreProperties>
</file>