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RMC\Willamette\2025-Report\R\Williamette_Loading\data\Cougar\BestFit\"/>
    </mc:Choice>
  </mc:AlternateContent>
  <xr:revisionPtr revIDLastSave="0" documentId="13_ncr:1_{1A482E2D-0F6A-43FF-8BAA-ED4B9B282826}" xr6:coauthVersionLast="47" xr6:coauthVersionMax="47" xr10:uidLastSave="{00000000-0000-0000-0000-000000000000}"/>
  <bookViews>
    <workbookView xWindow="-120" yWindow="-90" windowWidth="29040" windowHeight="15690" activeTab="2" xr2:uid="{CEBA1ED5-1536-4788-84E8-4E78F33CD5A4}"/>
  </bookViews>
  <sheets>
    <sheet name="Paleo_NoPSI" sheetId="1" r:id="rId1"/>
    <sheet name="Paleo_NoPSI EXT" sheetId="2" r:id="rId2"/>
    <sheet name="Analyses" sheetId="3" r:id="rId3"/>
    <sheet name="Sensitivity Determination" sheetId="6" r:id="rId4"/>
    <sheet name="RFA VFC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2" l="1"/>
  <c r="R11" i="2"/>
  <c r="R10" i="2"/>
  <c r="R9" i="2"/>
  <c r="R8" i="2"/>
  <c r="R7" i="2"/>
  <c r="R6" i="2"/>
  <c r="R5" i="2"/>
  <c r="R4" i="2"/>
  <c r="R3" i="2"/>
  <c r="R2" i="2"/>
  <c r="R3" i="1"/>
  <c r="R4" i="1"/>
  <c r="R5" i="1"/>
  <c r="R6" i="1"/>
  <c r="R7" i="1"/>
  <c r="R8" i="1"/>
  <c r="R9" i="1"/>
  <c r="R10" i="1"/>
  <c r="R11" i="1"/>
  <c r="R12" i="1"/>
  <c r="R13" i="1"/>
  <c r="R14" i="1"/>
  <c r="R2" i="1"/>
</calcChain>
</file>

<file path=xl/sharedStrings.xml><?xml version="1.0" encoding="utf-8"?>
<sst xmlns="http://schemas.openxmlformats.org/spreadsheetml/2006/main" count="430" uniqueCount="110">
  <si>
    <t>Index</t>
  </si>
  <si>
    <t>Value</t>
  </si>
  <si>
    <t>PP</t>
  </si>
  <si>
    <t>CGR_3day_winter_paleo_best_noPSIBest</t>
  </si>
  <si>
    <t>Dataset</t>
  </si>
  <si>
    <t>Lower</t>
  </si>
  <si>
    <t>Most-Likely</t>
  </si>
  <si>
    <t>Upper</t>
  </si>
  <si>
    <t>Start Index</t>
  </si>
  <si>
    <t>End Index</t>
  </si>
  <si>
    <t>Exceedances</t>
  </si>
  <si>
    <t>Length</t>
  </si>
  <si>
    <t>CGR_3day_annual_syst</t>
  </si>
  <si>
    <t>Analysis</t>
  </si>
  <si>
    <t>Mean (of log)</t>
  </si>
  <si>
    <t>SD (of log)</t>
  </si>
  <si>
    <t>Skew (of log)</t>
  </si>
  <si>
    <t>AIC</t>
  </si>
  <si>
    <t>BIC</t>
  </si>
  <si>
    <t>RMSE</t>
  </si>
  <si>
    <t>Desc</t>
  </si>
  <si>
    <t>Volume-Frequency analysis (VFA) using systematic 3-day AMS (all-season)</t>
  </si>
  <si>
    <t>Input Data</t>
  </si>
  <si>
    <t>CGR_3day_winter_syst</t>
  </si>
  <si>
    <t>VFA using 3-day systematic winter-only maximum series. Note "winter" indicates winter-only maxima</t>
  </si>
  <si>
    <t>CGR_3day_winter_hist</t>
  </si>
  <si>
    <t>CGR_3day_winter_paleo_best</t>
  </si>
  <si>
    <t>CGR_3day_winter_paleo_younger</t>
  </si>
  <si>
    <t>CGR_3day_winter_paleo_older</t>
  </si>
  <si>
    <t>CGR_3day_winter_paleo_best_noPSIUpper</t>
  </si>
  <si>
    <t>CGR_3day_annual_syst_2018</t>
  </si>
  <si>
    <t>CGR_3day_annual_hist_2018</t>
  </si>
  <si>
    <t>CGR_3day_annual_hist</t>
  </si>
  <si>
    <t>CGR_3day_winter_paleo_best_noPSIBest_Ext</t>
  </si>
  <si>
    <t>CGR_3day_winter_paleo_best_noPSIUpper_Ext</t>
  </si>
  <si>
    <t>VFA using 3-day systematic and historic data</t>
  </si>
  <si>
    <t>VFA using 3-day systematic, historic, and paleoflood data. Paleoflood data is best age-estimate</t>
  </si>
  <si>
    <t>VFA using 3-day systematic and historic data with rainfall-runoff quantile priors</t>
  </si>
  <si>
    <t>2018 VFA using systematic data</t>
  </si>
  <si>
    <t>2018 VFA using systematic &amp; historic data</t>
  </si>
  <si>
    <t>VFA using 3-day systematic and historic data - All season</t>
  </si>
  <si>
    <t>VFA using 3-day systematic, historic, and paleoflood data with rainfall-runoff quantile priors. Paleoflood data is best age-estimate</t>
  </si>
  <si>
    <t>VFA using 3-day systematic, historic, and paleoflood (No PSI) data with rainfall-runoff quantile priors. Paleoflood data is best age-estimate</t>
  </si>
  <si>
    <t>VFA using 3-day systematic, historic, and paleoflood data with rainfall-runoff quantile priors. Paleoflood data is younger age-estimate</t>
  </si>
  <si>
    <t>VFA using 3-day systematic, historic, and paleoflood data with rainfall-runoff quantile priors. Paleoflood data is older age-estimate</t>
  </si>
  <si>
    <t>Seasonallity</t>
  </si>
  <si>
    <t>Previous Analysis</t>
  </si>
  <si>
    <t>AMS</t>
  </si>
  <si>
    <t>All-season</t>
  </si>
  <si>
    <t>Winter</t>
  </si>
  <si>
    <t>Record Length</t>
  </si>
  <si>
    <t>Systematic</t>
  </si>
  <si>
    <t>Historic</t>
  </si>
  <si>
    <t>Paleo</t>
  </si>
  <si>
    <t>None</t>
  </si>
  <si>
    <t>RRFT Quantile Priors</t>
  </si>
  <si>
    <t>Precip-Frequency</t>
  </si>
  <si>
    <t>Record</t>
  </si>
  <si>
    <t>Paleo (ext)</t>
  </si>
  <si>
    <t>Sys</t>
  </si>
  <si>
    <t>Sys + Hist</t>
  </si>
  <si>
    <t>Sys + Hist + Paleo</t>
  </si>
  <si>
    <t>Sys + Hist + Paleo + PF</t>
  </si>
  <si>
    <t>Sys + Hist + PF</t>
  </si>
  <si>
    <t>Best Age, Best Discharge - No PSIs</t>
  </si>
  <si>
    <t>Best Age, Best Discharge w/PSIs</t>
  </si>
  <si>
    <t>Young Age, Best Discharge w/PSIs</t>
  </si>
  <si>
    <t>Old Age, Best Discharge w/PSIs</t>
  </si>
  <si>
    <t>Best Age, Best Discharge - NEBs are consolidated</t>
  </si>
  <si>
    <t>Best Age, Upper Discharge - NEBs are consolidated</t>
  </si>
  <si>
    <t>Final</t>
  </si>
  <si>
    <t>Paleoflood Application</t>
  </si>
  <si>
    <t>Secondary Sensitivity</t>
  </si>
  <si>
    <t>Primary Sensitivity</t>
  </si>
  <si>
    <t>PF Application</t>
  </si>
  <si>
    <t>RFA VFC</t>
  </si>
  <si>
    <t>CGR_3Day_winter_hist</t>
  </si>
  <si>
    <t>CGR_3Day_winter_paleoOnly_Best</t>
  </si>
  <si>
    <t>CGR_3Day_winter_paleo_best_RRFT</t>
  </si>
  <si>
    <t>CGR_3Day_winter_paleo_best_RRFT_noPSIBest</t>
  </si>
  <si>
    <t>CGR_3Day_winter_paleo_best_RRFT_noPSIBestExt</t>
  </si>
  <si>
    <t>CGR_3Day_winter_paleo_best_RRFT_noPSIUpper</t>
  </si>
  <si>
    <t>CGR_3Day_winter_paleo_best_RRFT_noPSIUpperExt</t>
  </si>
  <si>
    <t>CGR_3Day_winter_precip_RRFT</t>
  </si>
  <si>
    <t>CGR_3Day_winter_syst</t>
  </si>
  <si>
    <t>Best Fit Analysis</t>
  </si>
  <si>
    <t>NEB extended through PSI 4, PSI 4 extended through PSI 3</t>
  </si>
  <si>
    <t>VFA using 3-day systematic, historic, and paleoflood (No PSI) data with rainfall-runoff quantile priors. Paleoflood data age data has been extended - NEB extended through PSI 4, PSI 4 extended through PSI 3</t>
  </si>
  <si>
    <t>0a - CGR_3day_winter_paleo_best_RRFT_noPISUpper</t>
  </si>
  <si>
    <t>1d - CGR_3day_winter_precip_RRFT</t>
  </si>
  <si>
    <t>1a - CGR_3day_winter_syst</t>
  </si>
  <si>
    <t>1b - CGR_3day_winter_hist</t>
  </si>
  <si>
    <t>1c - CGR_3day_winter_paleoOnly</t>
  </si>
  <si>
    <t>1e - CGR_3day_winter_paleoOnly_noPSI</t>
  </si>
  <si>
    <t>2a - CGR_3day_annual_syst</t>
  </si>
  <si>
    <t>2b - CGR_3day_annual_hist</t>
  </si>
  <si>
    <t>3a - CGR_3day_annual_syst_2018</t>
  </si>
  <si>
    <t>3b - CGR_3day_annual_hist_2018</t>
  </si>
  <si>
    <t>4a - CGR_3day_winter_paleo_best_RRFT</t>
  </si>
  <si>
    <t>4b - CGR_3day_winter_paleo_best_RRFT_noPISBest</t>
  </si>
  <si>
    <t>4c - CGR_3day_winter_paleo_younger_RRFT</t>
  </si>
  <si>
    <t>4d - CGR_3day_winter_paleo_older_RRFT</t>
  </si>
  <si>
    <t>4e - CGR_3day_winter_paleo_best_RRFT_noPISBest_Ext</t>
  </si>
  <si>
    <t>4f - CGR_3day_winter_paleo_best_RRFT_noPISUp_Ext</t>
  </si>
  <si>
    <t>FINAL VFA using 3-day systematic, historic, and paleoflood (No PSI) data with rainfall-runoff quantile priors. Paleoflood data is best age-estimate with upper vol. estimates</t>
  </si>
  <si>
    <t>ERL</t>
  </si>
  <si>
    <t>8a - CGR_3day_annual_syst_2018</t>
  </si>
  <si>
    <t>8b - CGR_3day_annual_hist_2018</t>
  </si>
  <si>
    <t>0a - CGR_3day_winter_paleo_best_RRFT_noPISBest_Ext</t>
  </si>
  <si>
    <t>4e - CGR_3day_winter_paleo_best_RRFT_noPISUpper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</si>
</sst>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2745-CBD4-4F6C-B8AB-E864378D59A9}">
  <dimension ref="A1:R86"/>
  <sheetViews>
    <sheetView workbookViewId="0">
      <selection activeCell="J29" sqref="J29"/>
    </sheetView>
  </sheetViews>
  <sheetFormatPr defaultRowHeight="15" x14ac:dyDescent="0.25"/>
  <cols>
    <col min="4" max="4" width="35.28515625" bestFit="1" customWidth="1"/>
    <col min="5" max="5" width="8.42578125" customWidth="1"/>
    <col min="10" max="10" width="9" customWidth="1"/>
    <col min="11" max="11" width="35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4</v>
      </c>
      <c r="F1" t="s">
        <v>0</v>
      </c>
      <c r="G1" t="s">
        <v>5</v>
      </c>
      <c r="H1" t="s">
        <v>6</v>
      </c>
      <c r="I1" t="s">
        <v>7</v>
      </c>
      <c r="J1" t="s">
        <v>2</v>
      </c>
      <c r="K1" t="s">
        <v>4</v>
      </c>
      <c r="M1" t="s">
        <v>8</v>
      </c>
      <c r="N1" t="s">
        <v>9</v>
      </c>
      <c r="O1" t="s">
        <v>1</v>
      </c>
      <c r="P1" t="s">
        <v>10</v>
      </c>
      <c r="R1" t="s">
        <v>11</v>
      </c>
    </row>
    <row r="2" spans="1:18" x14ac:dyDescent="0.25">
      <c r="A2" s="1">
        <v>1927</v>
      </c>
      <c r="B2" s="1">
        <v>5470</v>
      </c>
      <c r="C2" s="1">
        <v>0.36102941176470599</v>
      </c>
      <c r="D2" t="s">
        <v>3</v>
      </c>
      <c r="F2" s="1">
        <v>1862</v>
      </c>
      <c r="G2" s="1">
        <v>12000</v>
      </c>
      <c r="H2" s="1">
        <v>18000</v>
      </c>
      <c r="I2" s="1">
        <v>23000</v>
      </c>
      <c r="J2" s="1">
        <v>8.3333333333333297E-3</v>
      </c>
      <c r="K2" t="s">
        <v>3</v>
      </c>
      <c r="M2" s="1">
        <v>-300</v>
      </c>
      <c r="N2" s="1">
        <v>379</v>
      </c>
      <c r="O2" s="1">
        <v>60000</v>
      </c>
      <c r="P2" s="1">
        <v>0</v>
      </c>
      <c r="R2">
        <f>N2-M2</f>
        <v>679</v>
      </c>
    </row>
    <row r="3" spans="1:18" x14ac:dyDescent="0.25">
      <c r="A3" s="1">
        <v>1930</v>
      </c>
      <c r="B3" s="1">
        <v>3522</v>
      </c>
      <c r="C3" s="1">
        <v>0.69794117647058795</v>
      </c>
      <c r="D3" t="s">
        <v>3</v>
      </c>
      <c r="G3" s="1"/>
      <c r="H3" s="1"/>
      <c r="I3" s="1"/>
      <c r="M3" s="1">
        <v>380</v>
      </c>
      <c r="N3" s="1">
        <v>1274</v>
      </c>
      <c r="O3" s="1">
        <v>45000</v>
      </c>
      <c r="P3" s="1">
        <v>0</v>
      </c>
      <c r="R3">
        <f t="shared" ref="R3:R14" si="0">N3-M3</f>
        <v>894</v>
      </c>
    </row>
    <row r="4" spans="1:18" x14ac:dyDescent="0.25">
      <c r="A4" s="1">
        <v>1934</v>
      </c>
      <c r="B4" s="1">
        <v>4348</v>
      </c>
      <c r="C4" s="1">
        <v>0.51205882352941201</v>
      </c>
      <c r="D4" t="s">
        <v>3</v>
      </c>
      <c r="G4" s="1"/>
      <c r="H4" s="1"/>
      <c r="I4" s="1"/>
      <c r="M4" s="1">
        <v>1275</v>
      </c>
      <c r="N4" s="1">
        <v>1279</v>
      </c>
      <c r="O4" s="1">
        <v>37000</v>
      </c>
      <c r="P4" s="1">
        <v>0</v>
      </c>
      <c r="R4">
        <f t="shared" si="0"/>
        <v>4</v>
      </c>
    </row>
    <row r="5" spans="1:18" x14ac:dyDescent="0.25">
      <c r="A5" s="1">
        <v>1935</v>
      </c>
      <c r="B5" s="1">
        <v>4657</v>
      </c>
      <c r="C5" s="1">
        <v>0.442352941176471</v>
      </c>
      <c r="D5" t="s">
        <v>3</v>
      </c>
      <c r="G5" s="1"/>
      <c r="H5" s="1"/>
      <c r="I5" s="1"/>
      <c r="M5" s="1">
        <v>1280</v>
      </c>
      <c r="N5" s="1">
        <v>1709</v>
      </c>
      <c r="O5" s="1">
        <v>27000</v>
      </c>
      <c r="P5" s="1">
        <v>0</v>
      </c>
      <c r="R5">
        <f t="shared" si="0"/>
        <v>429</v>
      </c>
    </row>
    <row r="6" spans="1:18" x14ac:dyDescent="0.25">
      <c r="A6" s="1">
        <v>1936</v>
      </c>
      <c r="B6" s="1">
        <v>4280</v>
      </c>
      <c r="C6" s="1">
        <v>0.54691176470588199</v>
      </c>
      <c r="D6" t="s">
        <v>3</v>
      </c>
      <c r="G6" s="1"/>
      <c r="H6" s="1"/>
      <c r="I6" s="1"/>
      <c r="M6" s="1">
        <v>1710</v>
      </c>
      <c r="N6" s="1">
        <v>1861</v>
      </c>
      <c r="O6" s="1">
        <v>24000</v>
      </c>
      <c r="P6" s="1">
        <v>0</v>
      </c>
      <c r="R6">
        <f t="shared" si="0"/>
        <v>151</v>
      </c>
    </row>
    <row r="7" spans="1:18" x14ac:dyDescent="0.25">
      <c r="A7" s="1">
        <v>1938</v>
      </c>
      <c r="B7" s="1">
        <v>4376</v>
      </c>
      <c r="C7" s="1">
        <v>0.50044117647058795</v>
      </c>
      <c r="D7" t="s">
        <v>3</v>
      </c>
      <c r="G7" s="1"/>
      <c r="H7" s="1"/>
      <c r="I7" s="1"/>
      <c r="M7" s="1">
        <v>1862</v>
      </c>
      <c r="N7" s="1">
        <v>1926</v>
      </c>
      <c r="O7" s="1">
        <v>18000</v>
      </c>
      <c r="P7" s="1">
        <v>0</v>
      </c>
      <c r="R7">
        <f t="shared" si="0"/>
        <v>64</v>
      </c>
    </row>
    <row r="8" spans="1:18" x14ac:dyDescent="0.25">
      <c r="A8" s="1">
        <v>1940</v>
      </c>
      <c r="B8" s="1">
        <v>2387</v>
      </c>
      <c r="C8" s="1">
        <v>0.941911764705882</v>
      </c>
      <c r="D8" t="s">
        <v>3</v>
      </c>
      <c r="G8" s="1"/>
      <c r="H8" s="1"/>
      <c r="I8" s="1"/>
      <c r="M8" s="1">
        <v>1928</v>
      </c>
      <c r="N8" s="1">
        <v>1929</v>
      </c>
      <c r="O8" s="1">
        <v>18000</v>
      </c>
      <c r="P8" s="1">
        <v>0</v>
      </c>
      <c r="R8">
        <f t="shared" si="0"/>
        <v>1</v>
      </c>
    </row>
    <row r="9" spans="1:18" x14ac:dyDescent="0.25">
      <c r="A9" s="1">
        <v>1941</v>
      </c>
      <c r="B9" s="1">
        <v>1795</v>
      </c>
      <c r="C9" s="1">
        <v>0.96514705882352902</v>
      </c>
      <c r="D9" t="s">
        <v>3</v>
      </c>
      <c r="G9" s="1"/>
      <c r="H9" s="1"/>
      <c r="I9" s="1"/>
      <c r="M9" s="1">
        <v>1931</v>
      </c>
      <c r="N9" s="1">
        <v>1933</v>
      </c>
      <c r="O9" s="1">
        <v>18000</v>
      </c>
      <c r="P9" s="1">
        <v>0</v>
      </c>
      <c r="R9">
        <f t="shared" si="0"/>
        <v>2</v>
      </c>
    </row>
    <row r="10" spans="1:18" x14ac:dyDescent="0.25">
      <c r="A10" s="1">
        <v>1942</v>
      </c>
      <c r="B10" s="1">
        <v>3785</v>
      </c>
      <c r="C10" s="1">
        <v>0.65147058823529402</v>
      </c>
      <c r="D10" t="s">
        <v>3</v>
      </c>
      <c r="G10" s="1"/>
      <c r="H10" s="1"/>
      <c r="I10" s="1"/>
      <c r="M10" s="1">
        <v>1937</v>
      </c>
      <c r="N10" s="1">
        <v>1937</v>
      </c>
      <c r="O10" s="1">
        <v>18000</v>
      </c>
      <c r="P10" s="1">
        <v>0</v>
      </c>
      <c r="R10">
        <f t="shared" si="0"/>
        <v>0</v>
      </c>
    </row>
    <row r="11" spans="1:18" x14ac:dyDescent="0.25">
      <c r="A11" s="1">
        <v>1943</v>
      </c>
      <c r="B11" s="1">
        <v>9626</v>
      </c>
      <c r="C11" s="1">
        <v>7.0588235294117604E-2</v>
      </c>
      <c r="D11" t="s">
        <v>3</v>
      </c>
      <c r="G11" s="1"/>
      <c r="H11" s="1"/>
      <c r="I11" s="1"/>
      <c r="M11" s="1">
        <v>1939</v>
      </c>
      <c r="N11" s="1">
        <v>1939</v>
      </c>
      <c r="O11" s="1">
        <v>18000</v>
      </c>
      <c r="P11" s="1">
        <v>0</v>
      </c>
      <c r="R11">
        <f t="shared" si="0"/>
        <v>0</v>
      </c>
    </row>
    <row r="12" spans="1:18" x14ac:dyDescent="0.25">
      <c r="A12" s="1">
        <v>1944</v>
      </c>
      <c r="B12" s="1">
        <v>2621</v>
      </c>
      <c r="C12" s="1">
        <v>0.89544117647058796</v>
      </c>
      <c r="D12" t="s">
        <v>3</v>
      </c>
      <c r="G12" s="1"/>
      <c r="H12" s="1"/>
      <c r="I12" s="1"/>
      <c r="M12" s="1">
        <v>1949</v>
      </c>
      <c r="N12" s="1">
        <v>1949</v>
      </c>
      <c r="O12" s="1">
        <v>18000</v>
      </c>
      <c r="P12" s="1">
        <v>0</v>
      </c>
      <c r="R12">
        <f t="shared" si="0"/>
        <v>0</v>
      </c>
    </row>
    <row r="13" spans="1:18" x14ac:dyDescent="0.25">
      <c r="A13" s="1">
        <v>1945</v>
      </c>
      <c r="B13" s="1">
        <v>4643</v>
      </c>
      <c r="C13" s="1">
        <v>0.45397058823529401</v>
      </c>
      <c r="D13" t="s">
        <v>3</v>
      </c>
      <c r="G13" s="1"/>
      <c r="H13" s="1"/>
      <c r="I13" s="1"/>
      <c r="M13" s="1">
        <v>1951</v>
      </c>
      <c r="N13" s="1">
        <v>1951</v>
      </c>
      <c r="O13" s="1">
        <v>18000</v>
      </c>
      <c r="P13" s="1">
        <v>0</v>
      </c>
      <c r="R13">
        <f t="shared" si="0"/>
        <v>0</v>
      </c>
    </row>
    <row r="14" spans="1:18" x14ac:dyDescent="0.25">
      <c r="A14" s="1">
        <v>1946</v>
      </c>
      <c r="B14" s="1">
        <v>9650</v>
      </c>
      <c r="C14" s="1">
        <v>5.8970588235294101E-2</v>
      </c>
      <c r="D14" t="s">
        <v>3</v>
      </c>
      <c r="G14" s="1"/>
      <c r="H14" s="1"/>
      <c r="I14" s="1"/>
      <c r="M14" s="1">
        <v>1955</v>
      </c>
      <c r="N14" s="1">
        <v>1955</v>
      </c>
      <c r="O14" s="1">
        <v>18000</v>
      </c>
      <c r="P14" s="1">
        <v>0</v>
      </c>
      <c r="R14">
        <f t="shared" si="0"/>
        <v>0</v>
      </c>
    </row>
    <row r="15" spans="1:18" x14ac:dyDescent="0.25">
      <c r="A15" s="1">
        <v>1947</v>
      </c>
      <c r="B15" s="1">
        <v>8504</v>
      </c>
      <c r="C15" s="1">
        <v>0.128676470588235</v>
      </c>
      <c r="D15" t="s">
        <v>3</v>
      </c>
      <c r="G15" s="1"/>
      <c r="H15" s="1"/>
      <c r="I15" s="1"/>
    </row>
    <row r="16" spans="1:18" x14ac:dyDescent="0.25">
      <c r="A16" s="1">
        <v>1948</v>
      </c>
      <c r="B16" s="1">
        <v>6976</v>
      </c>
      <c r="C16" s="1">
        <v>0.244852941176471</v>
      </c>
      <c r="D16" t="s">
        <v>3</v>
      </c>
      <c r="G16" s="1"/>
      <c r="H16" s="1"/>
      <c r="I16" s="1"/>
    </row>
    <row r="17" spans="1:9" x14ac:dyDescent="0.25">
      <c r="A17" s="1">
        <v>1950</v>
      </c>
      <c r="B17" s="1">
        <v>4316</v>
      </c>
      <c r="C17" s="1">
        <v>0.53529411764705903</v>
      </c>
      <c r="D17" t="s">
        <v>3</v>
      </c>
      <c r="G17" s="1"/>
      <c r="H17" s="1"/>
      <c r="I17" s="1"/>
    </row>
    <row r="18" spans="1:9" x14ac:dyDescent="0.25">
      <c r="A18" s="1">
        <v>1952</v>
      </c>
      <c r="B18" s="1">
        <v>3503</v>
      </c>
      <c r="C18" s="1">
        <v>0.73279411764705904</v>
      </c>
      <c r="D18" t="s">
        <v>3</v>
      </c>
      <c r="G18" s="1"/>
      <c r="H18" s="1"/>
      <c r="I18" s="1"/>
    </row>
    <row r="19" spans="1:9" x14ac:dyDescent="0.25">
      <c r="A19" s="1">
        <v>1953</v>
      </c>
      <c r="B19" s="1">
        <v>8829</v>
      </c>
      <c r="C19" s="1">
        <v>0.105441176470588</v>
      </c>
      <c r="D19" t="s">
        <v>3</v>
      </c>
      <c r="G19" s="1"/>
      <c r="H19" s="1"/>
      <c r="I19" s="1"/>
    </row>
    <row r="20" spans="1:9" x14ac:dyDescent="0.25">
      <c r="A20" s="1">
        <v>1954</v>
      </c>
      <c r="B20" s="1">
        <v>7212</v>
      </c>
      <c r="C20" s="1">
        <v>0.23323529411764701</v>
      </c>
      <c r="D20" t="s">
        <v>3</v>
      </c>
      <c r="G20" s="1"/>
      <c r="H20" s="1"/>
      <c r="I20" s="1"/>
    </row>
    <row r="21" spans="1:9" x14ac:dyDescent="0.25">
      <c r="A21" s="1">
        <v>1956</v>
      </c>
      <c r="B21" s="1">
        <v>10049</v>
      </c>
      <c r="C21" s="1">
        <v>4.7352941176470598E-2</v>
      </c>
      <c r="D21" t="s">
        <v>3</v>
      </c>
      <c r="G21" s="1"/>
      <c r="H21" s="1"/>
      <c r="I21" s="1"/>
    </row>
    <row r="22" spans="1:9" x14ac:dyDescent="0.25">
      <c r="A22" s="1">
        <v>1957</v>
      </c>
      <c r="B22" s="1">
        <v>7875</v>
      </c>
      <c r="C22" s="1">
        <v>0.186764705882353</v>
      </c>
      <c r="D22" t="s">
        <v>3</v>
      </c>
      <c r="G22" s="1"/>
      <c r="H22" s="1"/>
      <c r="I22" s="1"/>
    </row>
    <row r="23" spans="1:9" x14ac:dyDescent="0.25">
      <c r="A23" s="1">
        <v>1958</v>
      </c>
      <c r="B23" s="1">
        <v>5474</v>
      </c>
      <c r="C23" s="1">
        <v>0.34941176470588198</v>
      </c>
      <c r="D23" t="s">
        <v>3</v>
      </c>
      <c r="G23" s="1"/>
      <c r="H23" s="1"/>
      <c r="I23" s="1"/>
    </row>
    <row r="24" spans="1:9" x14ac:dyDescent="0.25">
      <c r="A24" s="1">
        <v>1959</v>
      </c>
      <c r="B24" s="1">
        <v>3291</v>
      </c>
      <c r="C24" s="1">
        <v>0.77926470588235297</v>
      </c>
      <c r="D24" t="s">
        <v>3</v>
      </c>
      <c r="G24" s="1"/>
      <c r="H24" s="1"/>
      <c r="I24" s="1"/>
    </row>
    <row r="25" spans="1:9" x14ac:dyDescent="0.25">
      <c r="A25" s="1">
        <v>1960</v>
      </c>
      <c r="B25" s="1">
        <v>2680</v>
      </c>
      <c r="C25" s="1">
        <v>0.88382352941176501</v>
      </c>
      <c r="D25" t="s">
        <v>3</v>
      </c>
      <c r="G25" s="1"/>
      <c r="H25" s="1"/>
      <c r="I25" s="1"/>
    </row>
    <row r="26" spans="1:9" x14ac:dyDescent="0.25">
      <c r="A26" s="1">
        <v>1961</v>
      </c>
      <c r="B26" s="1">
        <v>6265</v>
      </c>
      <c r="C26" s="1">
        <v>0.27970588235294103</v>
      </c>
      <c r="D26" t="s">
        <v>3</v>
      </c>
      <c r="G26" s="1"/>
      <c r="H26" s="1"/>
      <c r="I26" s="1"/>
    </row>
    <row r="27" spans="1:9" x14ac:dyDescent="0.25">
      <c r="A27" s="1">
        <v>1962</v>
      </c>
      <c r="B27" s="1">
        <v>4425</v>
      </c>
      <c r="C27" s="1">
        <v>0.48882352941176499</v>
      </c>
      <c r="D27" t="s">
        <v>3</v>
      </c>
      <c r="G27" s="1"/>
      <c r="H27" s="1"/>
      <c r="I27" s="1"/>
    </row>
    <row r="28" spans="1:9" x14ac:dyDescent="0.25">
      <c r="A28" s="1">
        <v>1963</v>
      </c>
      <c r="B28" s="1">
        <v>3418</v>
      </c>
      <c r="C28" s="1">
        <v>0.75602941176470595</v>
      </c>
      <c r="D28" t="s">
        <v>3</v>
      </c>
      <c r="G28" s="1"/>
      <c r="H28" s="1"/>
      <c r="I28" s="1"/>
    </row>
    <row r="29" spans="1:9" x14ac:dyDescent="0.25">
      <c r="A29" s="1">
        <v>1964</v>
      </c>
      <c r="B29" s="1">
        <v>2811</v>
      </c>
      <c r="C29" s="1">
        <v>0.86058823529411799</v>
      </c>
      <c r="D29" t="s">
        <v>3</v>
      </c>
      <c r="G29" s="1"/>
      <c r="H29" s="1"/>
      <c r="I29" s="1"/>
    </row>
    <row r="30" spans="1:9" x14ac:dyDescent="0.25">
      <c r="A30" s="1">
        <v>1965</v>
      </c>
      <c r="B30" s="1">
        <v>22655</v>
      </c>
      <c r="C30" s="1">
        <v>4.1666666666666701E-3</v>
      </c>
      <c r="D30" t="s">
        <v>3</v>
      </c>
      <c r="G30" s="1"/>
      <c r="H30" s="1"/>
      <c r="I30" s="1"/>
    </row>
    <row r="31" spans="1:9" x14ac:dyDescent="0.25">
      <c r="A31" s="1">
        <v>1966</v>
      </c>
      <c r="B31" s="1">
        <v>2800</v>
      </c>
      <c r="C31" s="1">
        <v>0.87220588235294105</v>
      </c>
      <c r="D31" t="s">
        <v>3</v>
      </c>
      <c r="G31" s="1"/>
      <c r="H31" s="1"/>
      <c r="I31" s="1"/>
    </row>
    <row r="32" spans="1:9" x14ac:dyDescent="0.25">
      <c r="A32" s="1">
        <v>1967</v>
      </c>
      <c r="B32" s="1">
        <v>3103</v>
      </c>
      <c r="C32" s="1">
        <v>0.82573529411764701</v>
      </c>
      <c r="D32" t="s">
        <v>3</v>
      </c>
      <c r="G32" s="1"/>
      <c r="H32" s="1"/>
      <c r="I32" s="1"/>
    </row>
    <row r="33" spans="1:9" x14ac:dyDescent="0.25">
      <c r="A33" s="1">
        <v>1968</v>
      </c>
      <c r="B33" s="1">
        <v>4073</v>
      </c>
      <c r="C33" s="1">
        <v>0.59338235294117603</v>
      </c>
      <c r="D33" t="s">
        <v>3</v>
      </c>
      <c r="G33" s="1"/>
      <c r="H33" s="1"/>
      <c r="I33" s="1"/>
    </row>
    <row r="34" spans="1:9" x14ac:dyDescent="0.25">
      <c r="A34" s="1">
        <v>1969</v>
      </c>
      <c r="B34" s="1">
        <v>3516</v>
      </c>
      <c r="C34" s="1">
        <v>0.70955882352941202</v>
      </c>
      <c r="D34" t="s">
        <v>3</v>
      </c>
      <c r="G34" s="1"/>
      <c r="H34" s="1"/>
      <c r="I34" s="1"/>
    </row>
    <row r="35" spans="1:9" x14ac:dyDescent="0.25">
      <c r="A35" s="1">
        <v>1970</v>
      </c>
      <c r="B35" s="1">
        <v>6503</v>
      </c>
      <c r="C35" s="1">
        <v>0.26808823529411802</v>
      </c>
      <c r="D35" t="s">
        <v>3</v>
      </c>
      <c r="G35" s="1"/>
      <c r="H35" s="1"/>
      <c r="I35" s="1"/>
    </row>
    <row r="36" spans="1:9" x14ac:dyDescent="0.25">
      <c r="A36" s="1">
        <v>1971</v>
      </c>
      <c r="B36" s="1">
        <v>11933</v>
      </c>
      <c r="C36" s="1">
        <v>2.4117647058823501E-2</v>
      </c>
      <c r="D36" t="s">
        <v>3</v>
      </c>
      <c r="G36" s="1"/>
      <c r="H36" s="1"/>
      <c r="I36" s="1"/>
    </row>
    <row r="37" spans="1:9" x14ac:dyDescent="0.25">
      <c r="A37" s="1">
        <v>1972</v>
      </c>
      <c r="B37" s="1">
        <v>8407</v>
      </c>
      <c r="C37" s="1">
        <v>0.151911764705882</v>
      </c>
      <c r="D37" t="s">
        <v>3</v>
      </c>
      <c r="G37" s="1"/>
      <c r="H37" s="1"/>
      <c r="I37" s="1"/>
    </row>
    <row r="38" spans="1:9" x14ac:dyDescent="0.25">
      <c r="A38" s="1">
        <v>1973</v>
      </c>
      <c r="B38" s="1">
        <v>3233</v>
      </c>
      <c r="C38" s="1">
        <v>0.79088235294117604</v>
      </c>
      <c r="D38" t="s">
        <v>3</v>
      </c>
      <c r="G38" s="1"/>
      <c r="H38" s="1"/>
      <c r="I38" s="1"/>
    </row>
    <row r="39" spans="1:9" x14ac:dyDescent="0.25">
      <c r="A39" s="1">
        <v>1974</v>
      </c>
      <c r="B39" s="1">
        <v>6043</v>
      </c>
      <c r="C39" s="1">
        <v>0.30294117647058799</v>
      </c>
      <c r="D39" t="s">
        <v>3</v>
      </c>
      <c r="G39" s="1"/>
      <c r="H39" s="1"/>
      <c r="I39" s="1"/>
    </row>
    <row r="40" spans="1:9" x14ac:dyDescent="0.25">
      <c r="A40" s="1">
        <v>1975</v>
      </c>
      <c r="B40" s="1">
        <v>4800</v>
      </c>
      <c r="C40" s="1">
        <v>0.39588235294117602</v>
      </c>
      <c r="D40" t="s">
        <v>3</v>
      </c>
      <c r="G40" s="1"/>
      <c r="H40" s="1"/>
      <c r="I40" s="1"/>
    </row>
    <row r="41" spans="1:9" x14ac:dyDescent="0.25">
      <c r="A41" s="1">
        <v>1976</v>
      </c>
      <c r="B41" s="1">
        <v>4010</v>
      </c>
      <c r="C41" s="1">
        <v>0.61661764705882305</v>
      </c>
      <c r="D41" t="s">
        <v>3</v>
      </c>
      <c r="G41" s="1"/>
      <c r="H41" s="1"/>
      <c r="I41" s="1"/>
    </row>
    <row r="42" spans="1:9" x14ac:dyDescent="0.25">
      <c r="A42" s="1">
        <v>1977</v>
      </c>
      <c r="B42" s="1">
        <v>493</v>
      </c>
      <c r="C42" s="1">
        <v>0.98838235294117605</v>
      </c>
      <c r="D42" t="s">
        <v>3</v>
      </c>
      <c r="G42" s="1"/>
      <c r="H42" s="1"/>
      <c r="I42" s="1"/>
    </row>
    <row r="43" spans="1:9" x14ac:dyDescent="0.25">
      <c r="A43" s="1">
        <v>1978</v>
      </c>
      <c r="B43" s="1">
        <v>8877</v>
      </c>
      <c r="C43" s="1">
        <v>9.3823529411764695E-2</v>
      </c>
      <c r="D43" t="s">
        <v>3</v>
      </c>
      <c r="G43" s="1"/>
      <c r="H43" s="1"/>
      <c r="I43" s="1"/>
    </row>
    <row r="44" spans="1:9" x14ac:dyDescent="0.25">
      <c r="A44" s="1">
        <v>1979</v>
      </c>
      <c r="B44" s="1">
        <v>3503</v>
      </c>
      <c r="C44" s="1">
        <v>0.72117647058823497</v>
      </c>
      <c r="D44" t="s">
        <v>3</v>
      </c>
      <c r="G44" s="1"/>
      <c r="H44" s="1"/>
      <c r="I44" s="1"/>
    </row>
    <row r="45" spans="1:9" x14ac:dyDescent="0.25">
      <c r="A45" s="1">
        <v>1980</v>
      </c>
      <c r="B45" s="1">
        <v>8450</v>
      </c>
      <c r="C45" s="1">
        <v>0.14029411764705901</v>
      </c>
      <c r="D45" t="s">
        <v>3</v>
      </c>
      <c r="G45" s="1"/>
      <c r="H45" s="1"/>
      <c r="I45" s="1"/>
    </row>
    <row r="46" spans="1:9" x14ac:dyDescent="0.25">
      <c r="A46" s="1">
        <v>1981</v>
      </c>
      <c r="B46" s="1">
        <v>5363</v>
      </c>
      <c r="C46" s="1">
        <v>0.372647058823529</v>
      </c>
      <c r="D46" t="s">
        <v>3</v>
      </c>
      <c r="G46" s="1"/>
      <c r="H46" s="1"/>
      <c r="I46" s="1"/>
    </row>
    <row r="47" spans="1:9" x14ac:dyDescent="0.25">
      <c r="A47" s="1">
        <v>1982</v>
      </c>
      <c r="B47" s="1">
        <v>7433</v>
      </c>
      <c r="C47" s="1">
        <v>0.221617647058824</v>
      </c>
      <c r="D47" t="s">
        <v>3</v>
      </c>
      <c r="G47" s="1"/>
      <c r="H47" s="1"/>
      <c r="I47" s="1"/>
    </row>
    <row r="48" spans="1:9" x14ac:dyDescent="0.25">
      <c r="A48" s="1">
        <v>1983</v>
      </c>
      <c r="B48" s="1">
        <v>4477</v>
      </c>
      <c r="C48" s="1">
        <v>0.46558823529411802</v>
      </c>
      <c r="D48" t="s">
        <v>3</v>
      </c>
      <c r="G48" s="1"/>
      <c r="H48" s="1"/>
      <c r="I48" s="1"/>
    </row>
    <row r="49" spans="1:9" x14ac:dyDescent="0.25">
      <c r="A49" s="1">
        <v>1984</v>
      </c>
      <c r="B49" s="1">
        <v>5603</v>
      </c>
      <c r="C49" s="1">
        <v>0.32617647058823501</v>
      </c>
      <c r="D49" t="s">
        <v>3</v>
      </c>
      <c r="G49" s="1"/>
      <c r="H49" s="1"/>
      <c r="I49" s="1"/>
    </row>
    <row r="50" spans="1:9" x14ac:dyDescent="0.25">
      <c r="A50" s="1">
        <v>1985</v>
      </c>
      <c r="B50" s="1">
        <v>4037</v>
      </c>
      <c r="C50" s="1">
        <v>0.60499999999999998</v>
      </c>
      <c r="D50" t="s">
        <v>3</v>
      </c>
      <c r="G50" s="1"/>
      <c r="H50" s="1"/>
      <c r="I50" s="1"/>
    </row>
    <row r="51" spans="1:9" x14ac:dyDescent="0.25">
      <c r="A51" s="1">
        <v>1986</v>
      </c>
      <c r="B51" s="1">
        <v>9123</v>
      </c>
      <c r="C51" s="1">
        <v>8.2205882352941198E-2</v>
      </c>
      <c r="D51" t="s">
        <v>3</v>
      </c>
      <c r="G51" s="1"/>
      <c r="H51" s="1"/>
      <c r="I51" s="1"/>
    </row>
    <row r="52" spans="1:9" x14ac:dyDescent="0.25">
      <c r="A52" s="1">
        <v>1987</v>
      </c>
      <c r="B52" s="1">
        <v>2947</v>
      </c>
      <c r="C52" s="1">
        <v>0.84897058823529403</v>
      </c>
      <c r="D52" t="s">
        <v>3</v>
      </c>
      <c r="G52" s="1"/>
      <c r="H52" s="1"/>
      <c r="I52" s="1"/>
    </row>
    <row r="53" spans="1:9" x14ac:dyDescent="0.25">
      <c r="A53" s="1">
        <v>1988</v>
      </c>
      <c r="B53" s="1">
        <v>3577</v>
      </c>
      <c r="C53" s="1">
        <v>0.67470588235294104</v>
      </c>
      <c r="D53" t="s">
        <v>3</v>
      </c>
      <c r="G53" s="1"/>
      <c r="H53" s="1"/>
      <c r="I53" s="1"/>
    </row>
    <row r="54" spans="1:9" x14ac:dyDescent="0.25">
      <c r="A54" s="1">
        <v>1989</v>
      </c>
      <c r="B54" s="1">
        <v>3527</v>
      </c>
      <c r="C54" s="1">
        <v>0.686323529411765</v>
      </c>
      <c r="D54" t="s">
        <v>3</v>
      </c>
      <c r="G54" s="1"/>
      <c r="H54" s="1"/>
      <c r="I54" s="1"/>
    </row>
    <row r="55" spans="1:9" x14ac:dyDescent="0.25">
      <c r="A55" s="1">
        <v>1990</v>
      </c>
      <c r="B55" s="1">
        <v>4663</v>
      </c>
      <c r="C55" s="1">
        <v>0.43073529411764699</v>
      </c>
      <c r="D55" t="s">
        <v>3</v>
      </c>
      <c r="G55" s="1"/>
      <c r="H55" s="1"/>
      <c r="I55" s="1"/>
    </row>
    <row r="56" spans="1:9" x14ac:dyDescent="0.25">
      <c r="A56" s="1">
        <v>1991</v>
      </c>
      <c r="B56" s="1">
        <v>3883</v>
      </c>
      <c r="C56" s="1">
        <v>0.63985294117647096</v>
      </c>
      <c r="D56" t="s">
        <v>3</v>
      </c>
      <c r="G56" s="1"/>
      <c r="H56" s="1"/>
      <c r="I56" s="1"/>
    </row>
    <row r="57" spans="1:9" x14ac:dyDescent="0.25">
      <c r="A57" s="1">
        <v>1992</v>
      </c>
      <c r="B57" s="1">
        <v>4220</v>
      </c>
      <c r="C57" s="1">
        <v>0.57014705882352901</v>
      </c>
      <c r="D57" t="s">
        <v>3</v>
      </c>
      <c r="G57" s="1"/>
      <c r="H57" s="1"/>
      <c r="I57" s="1"/>
    </row>
    <row r="58" spans="1:9" x14ac:dyDescent="0.25">
      <c r="A58" s="1">
        <v>1993</v>
      </c>
      <c r="B58" s="1">
        <v>1927</v>
      </c>
      <c r="C58" s="1">
        <v>0.95352941176470596</v>
      </c>
      <c r="D58" t="s">
        <v>3</v>
      </c>
      <c r="G58" s="1"/>
      <c r="H58" s="1"/>
      <c r="I58" s="1"/>
    </row>
    <row r="59" spans="1:9" x14ac:dyDescent="0.25">
      <c r="A59" s="1">
        <v>1994</v>
      </c>
      <c r="B59" s="1">
        <v>2413</v>
      </c>
      <c r="C59" s="1">
        <v>0.93029411764705905</v>
      </c>
      <c r="D59" t="s">
        <v>3</v>
      </c>
      <c r="G59" s="1"/>
      <c r="H59" s="1"/>
      <c r="I59" s="1"/>
    </row>
    <row r="60" spans="1:9" x14ac:dyDescent="0.25">
      <c r="A60" s="1">
        <v>1995</v>
      </c>
      <c r="B60" s="1">
        <v>6567</v>
      </c>
      <c r="C60" s="1">
        <v>0.25647058823529401</v>
      </c>
      <c r="D60" t="s">
        <v>3</v>
      </c>
      <c r="G60" s="1"/>
      <c r="H60" s="1"/>
      <c r="I60" s="1"/>
    </row>
    <row r="61" spans="1:9" x14ac:dyDescent="0.25">
      <c r="A61" s="1">
        <v>1996</v>
      </c>
      <c r="B61" s="1">
        <v>11107</v>
      </c>
      <c r="C61" s="1">
        <v>3.5735294117647101E-2</v>
      </c>
      <c r="D61" t="s">
        <v>3</v>
      </c>
      <c r="G61" s="1"/>
      <c r="H61" s="1"/>
      <c r="I61" s="1"/>
    </row>
    <row r="62" spans="1:9" x14ac:dyDescent="0.25">
      <c r="A62" s="1">
        <v>1997</v>
      </c>
      <c r="B62" s="1">
        <v>8330</v>
      </c>
      <c r="C62" s="1">
        <v>0.16352941176470601</v>
      </c>
      <c r="D62" t="s">
        <v>3</v>
      </c>
      <c r="G62" s="1"/>
      <c r="H62" s="1"/>
      <c r="I62" s="1"/>
    </row>
    <row r="63" spans="1:9" x14ac:dyDescent="0.25">
      <c r="A63" s="1">
        <v>1998</v>
      </c>
      <c r="B63" s="1">
        <v>4003</v>
      </c>
      <c r="C63" s="1">
        <v>0.628235294117647</v>
      </c>
      <c r="D63" t="s">
        <v>3</v>
      </c>
      <c r="G63" s="1"/>
      <c r="H63" s="1"/>
      <c r="I63" s="1"/>
    </row>
    <row r="64" spans="1:9" x14ac:dyDescent="0.25">
      <c r="A64" s="1">
        <v>1999</v>
      </c>
      <c r="B64" s="1">
        <v>6067</v>
      </c>
      <c r="C64" s="1">
        <v>0.29132352941176498</v>
      </c>
      <c r="D64" t="s">
        <v>3</v>
      </c>
      <c r="G64" s="1"/>
      <c r="H64" s="1"/>
      <c r="I64" s="1"/>
    </row>
    <row r="65" spans="1:9" x14ac:dyDescent="0.25">
      <c r="A65" s="1">
        <v>2000</v>
      </c>
      <c r="B65" s="1">
        <v>5873</v>
      </c>
      <c r="C65" s="1">
        <v>0.314558823529412</v>
      </c>
      <c r="D65" t="s">
        <v>3</v>
      </c>
      <c r="G65" s="1"/>
      <c r="H65" s="1"/>
      <c r="I65" s="1"/>
    </row>
    <row r="66" spans="1:9" x14ac:dyDescent="0.25">
      <c r="A66" s="1">
        <v>2001</v>
      </c>
      <c r="B66" s="1">
        <v>1103</v>
      </c>
      <c r="C66" s="1">
        <v>0.97676470588235298</v>
      </c>
      <c r="D66" t="s">
        <v>3</v>
      </c>
      <c r="G66" s="1"/>
      <c r="H66" s="1"/>
      <c r="I66" s="1"/>
    </row>
    <row r="67" spans="1:9" x14ac:dyDescent="0.25">
      <c r="A67" s="1">
        <v>2002</v>
      </c>
      <c r="B67" s="1">
        <v>3180</v>
      </c>
      <c r="C67" s="1">
        <v>0.80249999999999999</v>
      </c>
      <c r="D67" t="s">
        <v>3</v>
      </c>
      <c r="G67" s="1"/>
      <c r="H67" s="1"/>
      <c r="I67" s="1"/>
    </row>
    <row r="68" spans="1:9" x14ac:dyDescent="0.25">
      <c r="A68" s="1">
        <v>2003</v>
      </c>
      <c r="B68" s="1">
        <v>4817</v>
      </c>
      <c r="C68" s="1">
        <v>0.38426470588235301</v>
      </c>
      <c r="D68" t="s">
        <v>3</v>
      </c>
      <c r="G68" s="1"/>
      <c r="H68" s="1"/>
      <c r="I68" s="1"/>
    </row>
    <row r="69" spans="1:9" x14ac:dyDescent="0.25">
      <c r="A69" s="1">
        <v>2004</v>
      </c>
      <c r="B69" s="1">
        <v>4340</v>
      </c>
      <c r="C69" s="1">
        <v>0.52367647058823497</v>
      </c>
      <c r="D69" t="s">
        <v>3</v>
      </c>
      <c r="G69" s="1"/>
      <c r="H69" s="1"/>
      <c r="I69" s="1"/>
    </row>
    <row r="70" spans="1:9" x14ac:dyDescent="0.25">
      <c r="A70" s="1">
        <v>2005</v>
      </c>
      <c r="B70" s="1">
        <v>4697</v>
      </c>
      <c r="C70" s="1">
        <v>0.41911764705882398</v>
      </c>
      <c r="D70" t="s">
        <v>3</v>
      </c>
      <c r="G70" s="1"/>
      <c r="H70" s="1"/>
      <c r="I70" s="1"/>
    </row>
    <row r="71" spans="1:9" x14ac:dyDescent="0.25">
      <c r="A71" s="1">
        <v>2006</v>
      </c>
      <c r="B71" s="1">
        <v>7663</v>
      </c>
      <c r="C71" s="1">
        <v>0.21</v>
      </c>
      <c r="D71" t="s">
        <v>3</v>
      </c>
      <c r="G71" s="1"/>
      <c r="H71" s="1"/>
      <c r="I71" s="1"/>
    </row>
    <row r="72" spans="1:9" x14ac:dyDescent="0.25">
      <c r="A72" s="1">
        <v>2007</v>
      </c>
      <c r="B72" s="1">
        <v>4463</v>
      </c>
      <c r="C72" s="1">
        <v>0.47720588235294098</v>
      </c>
      <c r="D72" t="s">
        <v>3</v>
      </c>
      <c r="G72" s="1"/>
      <c r="H72" s="1"/>
      <c r="I72" s="1"/>
    </row>
    <row r="73" spans="1:9" x14ac:dyDescent="0.25">
      <c r="A73" s="1">
        <v>2008</v>
      </c>
      <c r="B73" s="1">
        <v>3493</v>
      </c>
      <c r="C73" s="1">
        <v>0.744411764705882</v>
      </c>
      <c r="D73" t="s">
        <v>3</v>
      </c>
      <c r="G73" s="1"/>
      <c r="H73" s="1"/>
      <c r="I73" s="1"/>
    </row>
    <row r="74" spans="1:9" x14ac:dyDescent="0.25">
      <c r="A74" s="1">
        <v>2009</v>
      </c>
      <c r="B74" s="1">
        <v>4243</v>
      </c>
      <c r="C74" s="1">
        <v>0.55852941176470605</v>
      </c>
      <c r="D74" t="s">
        <v>3</v>
      </c>
      <c r="G74" s="1"/>
      <c r="H74" s="1"/>
      <c r="I74" s="1"/>
    </row>
    <row r="75" spans="1:9" x14ac:dyDescent="0.25">
      <c r="A75" s="1">
        <v>2010</v>
      </c>
      <c r="B75" s="1">
        <v>2500</v>
      </c>
      <c r="C75" s="1">
        <v>0.91867647058823498</v>
      </c>
      <c r="D75" t="s">
        <v>3</v>
      </c>
      <c r="G75" s="1"/>
      <c r="H75" s="1"/>
      <c r="I75" s="1"/>
    </row>
    <row r="76" spans="1:9" x14ac:dyDescent="0.25">
      <c r="A76" s="1">
        <v>2011</v>
      </c>
      <c r="B76" s="1">
        <v>7769</v>
      </c>
      <c r="C76" s="1">
        <v>0.19838235294117601</v>
      </c>
      <c r="D76" t="s">
        <v>3</v>
      </c>
      <c r="G76" s="1"/>
      <c r="H76" s="1"/>
      <c r="I76" s="1"/>
    </row>
    <row r="77" spans="1:9" x14ac:dyDescent="0.25">
      <c r="A77" s="1">
        <v>2012</v>
      </c>
      <c r="B77" s="1">
        <v>5506</v>
      </c>
      <c r="C77" s="1">
        <v>0.33779411764705902</v>
      </c>
      <c r="D77" t="s">
        <v>3</v>
      </c>
      <c r="G77" s="1"/>
      <c r="H77" s="1"/>
      <c r="I77" s="1"/>
    </row>
    <row r="78" spans="1:9" x14ac:dyDescent="0.25">
      <c r="A78" s="1">
        <v>2013</v>
      </c>
      <c r="B78" s="1">
        <v>4738</v>
      </c>
      <c r="C78" s="1">
        <v>0.40749999999999997</v>
      </c>
      <c r="D78" t="s">
        <v>3</v>
      </c>
      <c r="G78" s="1"/>
      <c r="H78" s="1"/>
      <c r="I78" s="1"/>
    </row>
    <row r="79" spans="1:9" x14ac:dyDescent="0.25">
      <c r="A79" s="1">
        <v>2014</v>
      </c>
      <c r="B79" s="1">
        <v>8028</v>
      </c>
      <c r="C79" s="1">
        <v>0.17514705882352899</v>
      </c>
      <c r="D79" t="s">
        <v>3</v>
      </c>
      <c r="G79" s="1"/>
      <c r="H79" s="1"/>
      <c r="I79" s="1"/>
    </row>
    <row r="80" spans="1:9" x14ac:dyDescent="0.25">
      <c r="A80" s="1">
        <v>2015</v>
      </c>
      <c r="B80" s="1">
        <v>8737</v>
      </c>
      <c r="C80" s="1">
        <v>0.11705882352941201</v>
      </c>
      <c r="D80" t="s">
        <v>3</v>
      </c>
      <c r="G80" s="1"/>
      <c r="H80" s="1"/>
      <c r="I80" s="1"/>
    </row>
    <row r="81" spans="1:9" x14ac:dyDescent="0.25">
      <c r="A81" s="1">
        <v>2016</v>
      </c>
      <c r="B81" s="1">
        <v>4078</v>
      </c>
      <c r="C81" s="1">
        <v>0.58176470588235296</v>
      </c>
      <c r="D81" t="s">
        <v>3</v>
      </c>
      <c r="G81" s="1"/>
      <c r="H81" s="1"/>
      <c r="I81" s="1"/>
    </row>
    <row r="82" spans="1:9" x14ac:dyDescent="0.25">
      <c r="A82" s="1">
        <v>2017</v>
      </c>
      <c r="B82" s="1">
        <v>3152</v>
      </c>
      <c r="C82" s="1">
        <v>0.81411764705882395</v>
      </c>
      <c r="D82" t="s">
        <v>3</v>
      </c>
      <c r="G82" s="1"/>
      <c r="H82" s="1"/>
      <c r="I82" s="1"/>
    </row>
    <row r="83" spans="1:9" x14ac:dyDescent="0.25">
      <c r="A83" s="1">
        <v>2018</v>
      </c>
      <c r="B83" s="1">
        <v>3007</v>
      </c>
      <c r="C83" s="1">
        <v>0.83735294117647097</v>
      </c>
      <c r="D83" t="s">
        <v>3</v>
      </c>
      <c r="G83" s="1"/>
      <c r="H83" s="1"/>
      <c r="I83" s="1"/>
    </row>
    <row r="84" spans="1:9" x14ac:dyDescent="0.25">
      <c r="A84" s="1">
        <v>2019</v>
      </c>
      <c r="B84" s="1">
        <v>2611</v>
      </c>
      <c r="C84" s="1">
        <v>0.90705882352941203</v>
      </c>
      <c r="D84" t="s">
        <v>3</v>
      </c>
      <c r="G84" s="1"/>
      <c r="H84" s="1"/>
      <c r="I84" s="1"/>
    </row>
    <row r="85" spans="1:9" x14ac:dyDescent="0.25">
      <c r="A85" s="1">
        <v>2020</v>
      </c>
      <c r="B85" s="1">
        <v>3359</v>
      </c>
      <c r="C85" s="1">
        <v>0.76764705882352902</v>
      </c>
      <c r="D85" t="s">
        <v>3</v>
      </c>
      <c r="G85" s="1"/>
      <c r="H85" s="1"/>
      <c r="I85" s="1"/>
    </row>
    <row r="86" spans="1:9" x14ac:dyDescent="0.25">
      <c r="A86" s="1">
        <v>2021</v>
      </c>
      <c r="B86" s="1">
        <v>3752</v>
      </c>
      <c r="C86" s="1">
        <v>0.66308823529411798</v>
      </c>
      <c r="D86" t="s">
        <v>3</v>
      </c>
      <c r="G86" s="1"/>
      <c r="H86" s="1"/>
      <c r="I8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41CD-9109-44CD-8474-F6E6322AF8C0}">
  <dimension ref="A1:R86"/>
  <sheetViews>
    <sheetView topLeftCell="F1" workbookViewId="0">
      <selection activeCell="S1" sqref="S1"/>
    </sheetView>
  </sheetViews>
  <sheetFormatPr defaultRowHeight="15" x14ac:dyDescent="0.25"/>
  <cols>
    <col min="4" max="4" width="35.28515625" bestFit="1" customWidth="1"/>
    <col min="10" max="10" width="9" customWidth="1"/>
    <col min="11" max="11" width="35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4</v>
      </c>
      <c r="F1" t="s">
        <v>0</v>
      </c>
      <c r="G1" t="s">
        <v>5</v>
      </c>
      <c r="H1" t="s">
        <v>6</v>
      </c>
      <c r="I1" t="s">
        <v>7</v>
      </c>
      <c r="J1" t="s">
        <v>2</v>
      </c>
      <c r="K1" t="s">
        <v>4</v>
      </c>
      <c r="M1" t="s">
        <v>8</v>
      </c>
      <c r="N1" t="s">
        <v>9</v>
      </c>
      <c r="O1" t="s">
        <v>1</v>
      </c>
      <c r="P1" t="s">
        <v>10</v>
      </c>
      <c r="R1" t="s">
        <v>11</v>
      </c>
    </row>
    <row r="2" spans="1:18" x14ac:dyDescent="0.25">
      <c r="A2" s="1">
        <v>1927</v>
      </c>
      <c r="B2" s="1">
        <v>5470</v>
      </c>
      <c r="C2" s="1">
        <v>0.36102941176470599</v>
      </c>
      <c r="D2" t="s">
        <v>3</v>
      </c>
      <c r="F2" s="1">
        <v>1862</v>
      </c>
      <c r="G2" s="1">
        <v>12000</v>
      </c>
      <c r="H2" s="1">
        <v>18000</v>
      </c>
      <c r="I2" s="1">
        <v>23000</v>
      </c>
      <c r="J2" s="1">
        <v>8.3333333333333297E-3</v>
      </c>
      <c r="K2" t="s">
        <v>3</v>
      </c>
      <c r="M2" s="1">
        <v>-300</v>
      </c>
      <c r="N2" s="1">
        <v>1274</v>
      </c>
      <c r="O2" s="1">
        <v>60000</v>
      </c>
      <c r="P2" s="1">
        <v>0</v>
      </c>
      <c r="R2">
        <f>N2-M2</f>
        <v>1574</v>
      </c>
    </row>
    <row r="3" spans="1:18" x14ac:dyDescent="0.25">
      <c r="A3" s="1">
        <v>1930</v>
      </c>
      <c r="B3" s="1">
        <v>3522</v>
      </c>
      <c r="C3" s="1">
        <v>0.69794117647058795</v>
      </c>
      <c r="D3" t="s">
        <v>3</v>
      </c>
      <c r="G3" s="1"/>
      <c r="H3" s="1"/>
      <c r="I3" s="1"/>
      <c r="M3" s="1">
        <v>1275</v>
      </c>
      <c r="N3" s="1">
        <v>1709</v>
      </c>
      <c r="O3" s="1">
        <v>45000</v>
      </c>
      <c r="P3" s="1">
        <v>0</v>
      </c>
      <c r="R3">
        <f t="shared" ref="R3:R12" si="0">N3-M3</f>
        <v>434</v>
      </c>
    </row>
    <row r="4" spans="1:18" x14ac:dyDescent="0.25">
      <c r="A4" s="1">
        <v>1934</v>
      </c>
      <c r="B4" s="1">
        <v>4348</v>
      </c>
      <c r="C4" s="1">
        <v>0.51205882352941201</v>
      </c>
      <c r="D4" t="s">
        <v>3</v>
      </c>
      <c r="G4" s="1"/>
      <c r="H4" s="1"/>
      <c r="I4" s="1"/>
      <c r="M4" s="1">
        <v>1710</v>
      </c>
      <c r="N4" s="1">
        <v>1861</v>
      </c>
      <c r="O4" s="1">
        <v>37000</v>
      </c>
      <c r="P4" s="1">
        <v>0</v>
      </c>
      <c r="R4">
        <f t="shared" si="0"/>
        <v>151</v>
      </c>
    </row>
    <row r="5" spans="1:18" x14ac:dyDescent="0.25">
      <c r="A5" s="1">
        <v>1935</v>
      </c>
      <c r="B5" s="1">
        <v>4657</v>
      </c>
      <c r="C5" s="1">
        <v>0.442352941176471</v>
      </c>
      <c r="D5" t="s">
        <v>3</v>
      </c>
      <c r="G5" s="1"/>
      <c r="H5" s="1"/>
      <c r="I5" s="1"/>
      <c r="M5" s="1">
        <v>1862</v>
      </c>
      <c r="N5" s="1">
        <v>1926</v>
      </c>
      <c r="O5" s="1">
        <v>18000</v>
      </c>
      <c r="P5" s="1">
        <v>0</v>
      </c>
      <c r="R5">
        <f t="shared" si="0"/>
        <v>64</v>
      </c>
    </row>
    <row r="6" spans="1:18" x14ac:dyDescent="0.25">
      <c r="A6" s="1">
        <v>1936</v>
      </c>
      <c r="B6" s="1">
        <v>4280</v>
      </c>
      <c r="C6" s="1">
        <v>0.54691176470588199</v>
      </c>
      <c r="D6" t="s">
        <v>3</v>
      </c>
      <c r="G6" s="1"/>
      <c r="H6" s="1"/>
      <c r="I6" s="1"/>
      <c r="M6" s="1">
        <v>1928</v>
      </c>
      <c r="N6" s="1">
        <v>1929</v>
      </c>
      <c r="O6" s="1">
        <v>18000</v>
      </c>
      <c r="P6" s="1">
        <v>0</v>
      </c>
      <c r="R6">
        <f t="shared" si="0"/>
        <v>1</v>
      </c>
    </row>
    <row r="7" spans="1:18" x14ac:dyDescent="0.25">
      <c r="A7" s="1">
        <v>1938</v>
      </c>
      <c r="B7" s="1">
        <v>4376</v>
      </c>
      <c r="C7" s="1">
        <v>0.50044117647058795</v>
      </c>
      <c r="D7" t="s">
        <v>3</v>
      </c>
      <c r="G7" s="1"/>
      <c r="H7" s="1"/>
      <c r="I7" s="1"/>
      <c r="M7" s="1">
        <v>1931</v>
      </c>
      <c r="N7" s="1">
        <v>1933</v>
      </c>
      <c r="O7" s="1">
        <v>18000</v>
      </c>
      <c r="P7" s="1">
        <v>0</v>
      </c>
      <c r="R7">
        <f t="shared" si="0"/>
        <v>2</v>
      </c>
    </row>
    <row r="8" spans="1:18" x14ac:dyDescent="0.25">
      <c r="A8" s="1">
        <v>1940</v>
      </c>
      <c r="B8" s="1">
        <v>2387</v>
      </c>
      <c r="C8" s="1">
        <v>0.941911764705882</v>
      </c>
      <c r="D8" t="s">
        <v>3</v>
      </c>
      <c r="G8" s="1"/>
      <c r="H8" s="1"/>
      <c r="I8" s="1"/>
      <c r="M8" s="1">
        <v>1937</v>
      </c>
      <c r="N8" s="1">
        <v>1937</v>
      </c>
      <c r="O8" s="1">
        <v>18000</v>
      </c>
      <c r="P8" s="1">
        <v>0</v>
      </c>
      <c r="R8">
        <f t="shared" si="0"/>
        <v>0</v>
      </c>
    </row>
    <row r="9" spans="1:18" x14ac:dyDescent="0.25">
      <c r="A9" s="1">
        <v>1941</v>
      </c>
      <c r="B9" s="1">
        <v>1795</v>
      </c>
      <c r="C9" s="1">
        <v>0.96514705882352902</v>
      </c>
      <c r="D9" t="s">
        <v>3</v>
      </c>
      <c r="G9" s="1"/>
      <c r="H9" s="1"/>
      <c r="I9" s="1"/>
      <c r="M9" s="1">
        <v>1939</v>
      </c>
      <c r="N9" s="1">
        <v>1939</v>
      </c>
      <c r="O9" s="1">
        <v>18000</v>
      </c>
      <c r="P9" s="1">
        <v>0</v>
      </c>
      <c r="R9">
        <f t="shared" si="0"/>
        <v>0</v>
      </c>
    </row>
    <row r="10" spans="1:18" x14ac:dyDescent="0.25">
      <c r="A10" s="1">
        <v>1942</v>
      </c>
      <c r="B10" s="1">
        <v>3785</v>
      </c>
      <c r="C10" s="1">
        <v>0.65147058823529402</v>
      </c>
      <c r="D10" t="s">
        <v>3</v>
      </c>
      <c r="G10" s="1"/>
      <c r="H10" s="1"/>
      <c r="I10" s="1"/>
      <c r="M10" s="1">
        <v>1949</v>
      </c>
      <c r="N10" s="1">
        <v>1949</v>
      </c>
      <c r="O10" s="1">
        <v>18000</v>
      </c>
      <c r="P10" s="1">
        <v>0</v>
      </c>
      <c r="R10">
        <f t="shared" si="0"/>
        <v>0</v>
      </c>
    </row>
    <row r="11" spans="1:18" x14ac:dyDescent="0.25">
      <c r="A11" s="1">
        <v>1943</v>
      </c>
      <c r="B11" s="1">
        <v>9626</v>
      </c>
      <c r="C11" s="1">
        <v>7.0588235294117604E-2</v>
      </c>
      <c r="D11" t="s">
        <v>3</v>
      </c>
      <c r="G11" s="1"/>
      <c r="H11" s="1"/>
      <c r="I11" s="1"/>
      <c r="M11" s="1">
        <v>1951</v>
      </c>
      <c r="N11" s="1">
        <v>1951</v>
      </c>
      <c r="O11" s="1">
        <v>18000</v>
      </c>
      <c r="P11" s="1">
        <v>0</v>
      </c>
      <c r="R11">
        <f t="shared" si="0"/>
        <v>0</v>
      </c>
    </row>
    <row r="12" spans="1:18" x14ac:dyDescent="0.25">
      <c r="A12" s="1">
        <v>1944</v>
      </c>
      <c r="B12" s="1">
        <v>2621</v>
      </c>
      <c r="C12" s="1">
        <v>0.89544117647058796</v>
      </c>
      <c r="D12" t="s">
        <v>3</v>
      </c>
      <c r="G12" s="1"/>
      <c r="H12" s="1"/>
      <c r="I12" s="1"/>
      <c r="M12" s="1">
        <v>1955</v>
      </c>
      <c r="N12" s="1">
        <v>1955</v>
      </c>
      <c r="O12" s="1">
        <v>18000</v>
      </c>
      <c r="P12" s="1">
        <v>0</v>
      </c>
      <c r="R12">
        <f t="shared" si="0"/>
        <v>0</v>
      </c>
    </row>
    <row r="13" spans="1:18" x14ac:dyDescent="0.25">
      <c r="A13" s="1">
        <v>1945</v>
      </c>
      <c r="B13" s="1">
        <v>4643</v>
      </c>
      <c r="C13" s="1">
        <v>0.45397058823529401</v>
      </c>
      <c r="D13" t="s">
        <v>3</v>
      </c>
      <c r="G13" s="1"/>
      <c r="H13" s="1"/>
      <c r="I13" s="1"/>
      <c r="M13" s="1"/>
      <c r="N13" s="1"/>
      <c r="O13" s="1"/>
      <c r="P13" s="1"/>
    </row>
    <row r="14" spans="1:18" x14ac:dyDescent="0.25">
      <c r="A14" s="1">
        <v>1946</v>
      </c>
      <c r="B14" s="1">
        <v>9650</v>
      </c>
      <c r="C14" s="1">
        <v>5.8970588235294101E-2</v>
      </c>
      <c r="D14" t="s">
        <v>3</v>
      </c>
      <c r="G14" s="1"/>
      <c r="H14" s="1"/>
      <c r="I14" s="1"/>
      <c r="M14" s="1"/>
      <c r="N14" s="1"/>
      <c r="O14" s="1"/>
      <c r="P14" s="1"/>
    </row>
    <row r="15" spans="1:18" x14ac:dyDescent="0.25">
      <c r="A15" s="1">
        <v>1947</v>
      </c>
      <c r="B15" s="1">
        <v>8504</v>
      </c>
      <c r="C15" s="1">
        <v>0.128676470588235</v>
      </c>
      <c r="D15" t="s">
        <v>3</v>
      </c>
      <c r="G15" s="1"/>
      <c r="H15" s="1"/>
      <c r="I15" s="1"/>
    </row>
    <row r="16" spans="1:18" x14ac:dyDescent="0.25">
      <c r="A16" s="1">
        <v>1948</v>
      </c>
      <c r="B16" s="1">
        <v>6976</v>
      </c>
      <c r="C16" s="1">
        <v>0.244852941176471</v>
      </c>
      <c r="D16" t="s">
        <v>3</v>
      </c>
      <c r="G16" s="1"/>
      <c r="H16" s="1"/>
      <c r="I16" s="1"/>
    </row>
    <row r="17" spans="1:9" x14ac:dyDescent="0.25">
      <c r="A17" s="1">
        <v>1950</v>
      </c>
      <c r="B17" s="1">
        <v>4316</v>
      </c>
      <c r="C17" s="1">
        <v>0.53529411764705903</v>
      </c>
      <c r="D17" t="s">
        <v>3</v>
      </c>
      <c r="G17" s="1"/>
      <c r="H17" s="1"/>
      <c r="I17" s="1"/>
    </row>
    <row r="18" spans="1:9" x14ac:dyDescent="0.25">
      <c r="A18" s="1">
        <v>1952</v>
      </c>
      <c r="B18" s="1">
        <v>3503</v>
      </c>
      <c r="C18" s="1">
        <v>0.73279411764705904</v>
      </c>
      <c r="D18" t="s">
        <v>3</v>
      </c>
      <c r="G18" s="1"/>
      <c r="H18" s="1"/>
      <c r="I18" s="1"/>
    </row>
    <row r="19" spans="1:9" x14ac:dyDescent="0.25">
      <c r="A19" s="1">
        <v>1953</v>
      </c>
      <c r="B19" s="1">
        <v>8829</v>
      </c>
      <c r="C19" s="1">
        <v>0.105441176470588</v>
      </c>
      <c r="D19" t="s">
        <v>3</v>
      </c>
      <c r="G19" s="1"/>
      <c r="H19" s="1"/>
      <c r="I19" s="1"/>
    </row>
    <row r="20" spans="1:9" x14ac:dyDescent="0.25">
      <c r="A20" s="1">
        <v>1954</v>
      </c>
      <c r="B20" s="1">
        <v>7212</v>
      </c>
      <c r="C20" s="1">
        <v>0.23323529411764701</v>
      </c>
      <c r="D20" t="s">
        <v>3</v>
      </c>
      <c r="G20" s="1"/>
      <c r="H20" s="1"/>
      <c r="I20" s="1"/>
    </row>
    <row r="21" spans="1:9" x14ac:dyDescent="0.25">
      <c r="A21" s="1">
        <v>1956</v>
      </c>
      <c r="B21" s="1">
        <v>10049</v>
      </c>
      <c r="C21" s="1">
        <v>4.7352941176470598E-2</v>
      </c>
      <c r="D21" t="s">
        <v>3</v>
      </c>
      <c r="G21" s="1"/>
      <c r="H21" s="1"/>
      <c r="I21" s="1"/>
    </row>
    <row r="22" spans="1:9" x14ac:dyDescent="0.25">
      <c r="A22" s="1">
        <v>1957</v>
      </c>
      <c r="B22" s="1">
        <v>7875</v>
      </c>
      <c r="C22" s="1">
        <v>0.186764705882353</v>
      </c>
      <c r="D22" t="s">
        <v>3</v>
      </c>
      <c r="G22" s="1"/>
      <c r="H22" s="1"/>
      <c r="I22" s="1"/>
    </row>
    <row r="23" spans="1:9" x14ac:dyDescent="0.25">
      <c r="A23" s="1">
        <v>1958</v>
      </c>
      <c r="B23" s="1">
        <v>5474</v>
      </c>
      <c r="C23" s="1">
        <v>0.34941176470588198</v>
      </c>
      <c r="D23" t="s">
        <v>3</v>
      </c>
      <c r="G23" s="1"/>
      <c r="H23" s="1"/>
      <c r="I23" s="1"/>
    </row>
    <row r="24" spans="1:9" x14ac:dyDescent="0.25">
      <c r="A24" s="1">
        <v>1959</v>
      </c>
      <c r="B24" s="1">
        <v>3291</v>
      </c>
      <c r="C24" s="1">
        <v>0.77926470588235297</v>
      </c>
      <c r="D24" t="s">
        <v>3</v>
      </c>
      <c r="G24" s="1"/>
      <c r="H24" s="1"/>
      <c r="I24" s="1"/>
    </row>
    <row r="25" spans="1:9" x14ac:dyDescent="0.25">
      <c r="A25" s="1">
        <v>1960</v>
      </c>
      <c r="B25" s="1">
        <v>2680</v>
      </c>
      <c r="C25" s="1">
        <v>0.88382352941176501</v>
      </c>
      <c r="D25" t="s">
        <v>3</v>
      </c>
      <c r="G25" s="1"/>
      <c r="H25" s="1"/>
      <c r="I25" s="1"/>
    </row>
    <row r="26" spans="1:9" x14ac:dyDescent="0.25">
      <c r="A26" s="1">
        <v>1961</v>
      </c>
      <c r="B26" s="1">
        <v>6265</v>
      </c>
      <c r="C26" s="1">
        <v>0.27970588235294103</v>
      </c>
      <c r="D26" t="s">
        <v>3</v>
      </c>
      <c r="G26" s="1"/>
      <c r="H26" s="1"/>
      <c r="I26" s="1"/>
    </row>
    <row r="27" spans="1:9" x14ac:dyDescent="0.25">
      <c r="A27" s="1">
        <v>1962</v>
      </c>
      <c r="B27" s="1">
        <v>4425</v>
      </c>
      <c r="C27" s="1">
        <v>0.48882352941176499</v>
      </c>
      <c r="D27" t="s">
        <v>3</v>
      </c>
      <c r="G27" s="1"/>
      <c r="H27" s="1"/>
      <c r="I27" s="1"/>
    </row>
    <row r="28" spans="1:9" x14ac:dyDescent="0.25">
      <c r="A28" s="1">
        <v>1963</v>
      </c>
      <c r="B28" s="1">
        <v>3418</v>
      </c>
      <c r="C28" s="1">
        <v>0.75602941176470595</v>
      </c>
      <c r="D28" t="s">
        <v>3</v>
      </c>
      <c r="G28" s="1"/>
      <c r="H28" s="1"/>
      <c r="I28" s="1"/>
    </row>
    <row r="29" spans="1:9" x14ac:dyDescent="0.25">
      <c r="A29" s="1">
        <v>1964</v>
      </c>
      <c r="B29" s="1">
        <v>2811</v>
      </c>
      <c r="C29" s="1">
        <v>0.86058823529411799</v>
      </c>
      <c r="D29" t="s">
        <v>3</v>
      </c>
      <c r="G29" s="1"/>
      <c r="H29" s="1"/>
      <c r="I29" s="1"/>
    </row>
    <row r="30" spans="1:9" x14ac:dyDescent="0.25">
      <c r="A30" s="1">
        <v>1965</v>
      </c>
      <c r="B30" s="1">
        <v>22655</v>
      </c>
      <c r="C30" s="1">
        <v>4.1666666666666701E-3</v>
      </c>
      <c r="D30" t="s">
        <v>3</v>
      </c>
      <c r="G30" s="1"/>
      <c r="H30" s="1"/>
      <c r="I30" s="1"/>
    </row>
    <row r="31" spans="1:9" x14ac:dyDescent="0.25">
      <c r="A31" s="1">
        <v>1966</v>
      </c>
      <c r="B31" s="1">
        <v>2800</v>
      </c>
      <c r="C31" s="1">
        <v>0.87220588235294105</v>
      </c>
      <c r="D31" t="s">
        <v>3</v>
      </c>
      <c r="G31" s="1"/>
      <c r="H31" s="1"/>
      <c r="I31" s="1"/>
    </row>
    <row r="32" spans="1:9" x14ac:dyDescent="0.25">
      <c r="A32" s="1">
        <v>1967</v>
      </c>
      <c r="B32" s="1">
        <v>3103</v>
      </c>
      <c r="C32" s="1">
        <v>0.82573529411764701</v>
      </c>
      <c r="D32" t="s">
        <v>3</v>
      </c>
      <c r="G32" s="1"/>
      <c r="H32" s="1"/>
      <c r="I32" s="1"/>
    </row>
    <row r="33" spans="1:9" x14ac:dyDescent="0.25">
      <c r="A33" s="1">
        <v>1968</v>
      </c>
      <c r="B33" s="1">
        <v>4073</v>
      </c>
      <c r="C33" s="1">
        <v>0.59338235294117603</v>
      </c>
      <c r="D33" t="s">
        <v>3</v>
      </c>
      <c r="G33" s="1"/>
      <c r="H33" s="1"/>
      <c r="I33" s="1"/>
    </row>
    <row r="34" spans="1:9" x14ac:dyDescent="0.25">
      <c r="A34" s="1">
        <v>1969</v>
      </c>
      <c r="B34" s="1">
        <v>3516</v>
      </c>
      <c r="C34" s="1">
        <v>0.70955882352941202</v>
      </c>
      <c r="D34" t="s">
        <v>3</v>
      </c>
      <c r="G34" s="1"/>
      <c r="H34" s="1"/>
      <c r="I34" s="1"/>
    </row>
    <row r="35" spans="1:9" x14ac:dyDescent="0.25">
      <c r="A35" s="1">
        <v>1970</v>
      </c>
      <c r="B35" s="1">
        <v>6503</v>
      </c>
      <c r="C35" s="1">
        <v>0.26808823529411802</v>
      </c>
      <c r="D35" t="s">
        <v>3</v>
      </c>
      <c r="G35" s="1"/>
      <c r="H35" s="1"/>
      <c r="I35" s="1"/>
    </row>
    <row r="36" spans="1:9" x14ac:dyDescent="0.25">
      <c r="A36" s="1">
        <v>1971</v>
      </c>
      <c r="B36" s="1">
        <v>11933</v>
      </c>
      <c r="C36" s="1">
        <v>2.4117647058823501E-2</v>
      </c>
      <c r="D36" t="s">
        <v>3</v>
      </c>
      <c r="G36" s="1"/>
      <c r="H36" s="1"/>
      <c r="I36" s="1"/>
    </row>
    <row r="37" spans="1:9" x14ac:dyDescent="0.25">
      <c r="A37" s="1">
        <v>1972</v>
      </c>
      <c r="B37" s="1">
        <v>8407</v>
      </c>
      <c r="C37" s="1">
        <v>0.151911764705882</v>
      </c>
      <c r="D37" t="s">
        <v>3</v>
      </c>
      <c r="G37" s="1"/>
      <c r="H37" s="1"/>
      <c r="I37" s="1"/>
    </row>
    <row r="38" spans="1:9" x14ac:dyDescent="0.25">
      <c r="A38" s="1">
        <v>1973</v>
      </c>
      <c r="B38" s="1">
        <v>3233</v>
      </c>
      <c r="C38" s="1">
        <v>0.79088235294117604</v>
      </c>
      <c r="D38" t="s">
        <v>3</v>
      </c>
      <c r="G38" s="1"/>
      <c r="H38" s="1"/>
      <c r="I38" s="1"/>
    </row>
    <row r="39" spans="1:9" x14ac:dyDescent="0.25">
      <c r="A39" s="1">
        <v>1974</v>
      </c>
      <c r="B39" s="1">
        <v>6043</v>
      </c>
      <c r="C39" s="1">
        <v>0.30294117647058799</v>
      </c>
      <c r="D39" t="s">
        <v>3</v>
      </c>
      <c r="G39" s="1"/>
      <c r="H39" s="1"/>
      <c r="I39" s="1"/>
    </row>
    <row r="40" spans="1:9" x14ac:dyDescent="0.25">
      <c r="A40" s="1">
        <v>1975</v>
      </c>
      <c r="B40" s="1">
        <v>4800</v>
      </c>
      <c r="C40" s="1">
        <v>0.39588235294117602</v>
      </c>
      <c r="D40" t="s">
        <v>3</v>
      </c>
      <c r="G40" s="1"/>
      <c r="H40" s="1"/>
      <c r="I40" s="1"/>
    </row>
    <row r="41" spans="1:9" x14ac:dyDescent="0.25">
      <c r="A41" s="1">
        <v>1976</v>
      </c>
      <c r="B41" s="1">
        <v>4010</v>
      </c>
      <c r="C41" s="1">
        <v>0.61661764705882305</v>
      </c>
      <c r="D41" t="s">
        <v>3</v>
      </c>
      <c r="G41" s="1"/>
      <c r="H41" s="1"/>
      <c r="I41" s="1"/>
    </row>
    <row r="42" spans="1:9" x14ac:dyDescent="0.25">
      <c r="A42" s="1">
        <v>1977</v>
      </c>
      <c r="B42" s="1">
        <v>493</v>
      </c>
      <c r="C42" s="1">
        <v>0.98838235294117605</v>
      </c>
      <c r="D42" t="s">
        <v>3</v>
      </c>
      <c r="G42" s="1"/>
      <c r="H42" s="1"/>
      <c r="I42" s="1"/>
    </row>
    <row r="43" spans="1:9" x14ac:dyDescent="0.25">
      <c r="A43" s="1">
        <v>1978</v>
      </c>
      <c r="B43" s="1">
        <v>8877</v>
      </c>
      <c r="C43" s="1">
        <v>9.3823529411764695E-2</v>
      </c>
      <c r="D43" t="s">
        <v>3</v>
      </c>
      <c r="G43" s="1"/>
      <c r="H43" s="1"/>
      <c r="I43" s="1"/>
    </row>
    <row r="44" spans="1:9" x14ac:dyDescent="0.25">
      <c r="A44" s="1">
        <v>1979</v>
      </c>
      <c r="B44" s="1">
        <v>3503</v>
      </c>
      <c r="C44" s="1">
        <v>0.72117647058823497</v>
      </c>
      <c r="D44" t="s">
        <v>3</v>
      </c>
      <c r="G44" s="1"/>
      <c r="H44" s="1"/>
      <c r="I44" s="1"/>
    </row>
    <row r="45" spans="1:9" x14ac:dyDescent="0.25">
      <c r="A45" s="1">
        <v>1980</v>
      </c>
      <c r="B45" s="1">
        <v>8450</v>
      </c>
      <c r="C45" s="1">
        <v>0.14029411764705901</v>
      </c>
      <c r="D45" t="s">
        <v>3</v>
      </c>
      <c r="G45" s="1"/>
      <c r="H45" s="1"/>
      <c r="I45" s="1"/>
    </row>
    <row r="46" spans="1:9" x14ac:dyDescent="0.25">
      <c r="A46" s="1">
        <v>1981</v>
      </c>
      <c r="B46" s="1">
        <v>5363</v>
      </c>
      <c r="C46" s="1">
        <v>0.372647058823529</v>
      </c>
      <c r="D46" t="s">
        <v>3</v>
      </c>
      <c r="G46" s="1"/>
      <c r="H46" s="1"/>
      <c r="I46" s="1"/>
    </row>
    <row r="47" spans="1:9" x14ac:dyDescent="0.25">
      <c r="A47" s="1">
        <v>1982</v>
      </c>
      <c r="B47" s="1">
        <v>7433</v>
      </c>
      <c r="C47" s="1">
        <v>0.221617647058824</v>
      </c>
      <c r="D47" t="s">
        <v>3</v>
      </c>
      <c r="G47" s="1"/>
      <c r="H47" s="1"/>
      <c r="I47" s="1"/>
    </row>
    <row r="48" spans="1:9" x14ac:dyDescent="0.25">
      <c r="A48" s="1">
        <v>1983</v>
      </c>
      <c r="B48" s="1">
        <v>4477</v>
      </c>
      <c r="C48" s="1">
        <v>0.46558823529411802</v>
      </c>
      <c r="D48" t="s">
        <v>3</v>
      </c>
      <c r="G48" s="1"/>
      <c r="H48" s="1"/>
      <c r="I48" s="1"/>
    </row>
    <row r="49" spans="1:9" x14ac:dyDescent="0.25">
      <c r="A49" s="1">
        <v>1984</v>
      </c>
      <c r="B49" s="1">
        <v>5603</v>
      </c>
      <c r="C49" s="1">
        <v>0.32617647058823501</v>
      </c>
      <c r="D49" t="s">
        <v>3</v>
      </c>
      <c r="G49" s="1"/>
      <c r="H49" s="1"/>
      <c r="I49" s="1"/>
    </row>
    <row r="50" spans="1:9" x14ac:dyDescent="0.25">
      <c r="A50" s="1">
        <v>1985</v>
      </c>
      <c r="B50" s="1">
        <v>4037</v>
      </c>
      <c r="C50" s="1">
        <v>0.60499999999999998</v>
      </c>
      <c r="D50" t="s">
        <v>3</v>
      </c>
      <c r="G50" s="1"/>
      <c r="H50" s="1"/>
      <c r="I50" s="1"/>
    </row>
    <row r="51" spans="1:9" x14ac:dyDescent="0.25">
      <c r="A51" s="1">
        <v>1986</v>
      </c>
      <c r="B51" s="1">
        <v>9123</v>
      </c>
      <c r="C51" s="1">
        <v>8.2205882352941198E-2</v>
      </c>
      <c r="D51" t="s">
        <v>3</v>
      </c>
      <c r="G51" s="1"/>
      <c r="H51" s="1"/>
      <c r="I51" s="1"/>
    </row>
    <row r="52" spans="1:9" x14ac:dyDescent="0.25">
      <c r="A52" s="1">
        <v>1987</v>
      </c>
      <c r="B52" s="1">
        <v>2947</v>
      </c>
      <c r="C52" s="1">
        <v>0.84897058823529403</v>
      </c>
      <c r="D52" t="s">
        <v>3</v>
      </c>
      <c r="G52" s="1"/>
      <c r="H52" s="1"/>
      <c r="I52" s="1"/>
    </row>
    <row r="53" spans="1:9" x14ac:dyDescent="0.25">
      <c r="A53" s="1">
        <v>1988</v>
      </c>
      <c r="B53" s="1">
        <v>3577</v>
      </c>
      <c r="C53" s="1">
        <v>0.67470588235294104</v>
      </c>
      <c r="D53" t="s">
        <v>3</v>
      </c>
      <c r="G53" s="1"/>
      <c r="H53" s="1"/>
      <c r="I53" s="1"/>
    </row>
    <row r="54" spans="1:9" x14ac:dyDescent="0.25">
      <c r="A54" s="1">
        <v>1989</v>
      </c>
      <c r="B54" s="1">
        <v>3527</v>
      </c>
      <c r="C54" s="1">
        <v>0.686323529411765</v>
      </c>
      <c r="D54" t="s">
        <v>3</v>
      </c>
      <c r="G54" s="1"/>
      <c r="H54" s="1"/>
      <c r="I54" s="1"/>
    </row>
    <row r="55" spans="1:9" x14ac:dyDescent="0.25">
      <c r="A55" s="1">
        <v>1990</v>
      </c>
      <c r="B55" s="1">
        <v>4663</v>
      </c>
      <c r="C55" s="1">
        <v>0.43073529411764699</v>
      </c>
      <c r="D55" t="s">
        <v>3</v>
      </c>
      <c r="G55" s="1"/>
      <c r="H55" s="1"/>
      <c r="I55" s="1"/>
    </row>
    <row r="56" spans="1:9" x14ac:dyDescent="0.25">
      <c r="A56" s="1">
        <v>1991</v>
      </c>
      <c r="B56" s="1">
        <v>3883</v>
      </c>
      <c r="C56" s="1">
        <v>0.63985294117647096</v>
      </c>
      <c r="D56" t="s">
        <v>3</v>
      </c>
      <c r="G56" s="1"/>
      <c r="H56" s="1"/>
      <c r="I56" s="1"/>
    </row>
    <row r="57" spans="1:9" x14ac:dyDescent="0.25">
      <c r="A57" s="1">
        <v>1992</v>
      </c>
      <c r="B57" s="1">
        <v>4220</v>
      </c>
      <c r="C57" s="1">
        <v>0.57014705882352901</v>
      </c>
      <c r="D57" t="s">
        <v>3</v>
      </c>
      <c r="G57" s="1"/>
      <c r="H57" s="1"/>
      <c r="I57" s="1"/>
    </row>
    <row r="58" spans="1:9" x14ac:dyDescent="0.25">
      <c r="A58" s="1">
        <v>1993</v>
      </c>
      <c r="B58" s="1">
        <v>1927</v>
      </c>
      <c r="C58" s="1">
        <v>0.95352941176470596</v>
      </c>
      <c r="D58" t="s">
        <v>3</v>
      </c>
      <c r="G58" s="1"/>
      <c r="H58" s="1"/>
      <c r="I58" s="1"/>
    </row>
    <row r="59" spans="1:9" x14ac:dyDescent="0.25">
      <c r="A59" s="1">
        <v>1994</v>
      </c>
      <c r="B59" s="1">
        <v>2413</v>
      </c>
      <c r="C59" s="1">
        <v>0.93029411764705905</v>
      </c>
      <c r="D59" t="s">
        <v>3</v>
      </c>
      <c r="G59" s="1"/>
      <c r="H59" s="1"/>
      <c r="I59" s="1"/>
    </row>
    <row r="60" spans="1:9" x14ac:dyDescent="0.25">
      <c r="A60" s="1">
        <v>1995</v>
      </c>
      <c r="B60" s="1">
        <v>6567</v>
      </c>
      <c r="C60" s="1">
        <v>0.25647058823529401</v>
      </c>
      <c r="D60" t="s">
        <v>3</v>
      </c>
      <c r="G60" s="1"/>
      <c r="H60" s="1"/>
      <c r="I60" s="1"/>
    </row>
    <row r="61" spans="1:9" x14ac:dyDescent="0.25">
      <c r="A61" s="1">
        <v>1996</v>
      </c>
      <c r="B61" s="1">
        <v>11107</v>
      </c>
      <c r="C61" s="1">
        <v>3.5735294117647101E-2</v>
      </c>
      <c r="D61" t="s">
        <v>3</v>
      </c>
      <c r="G61" s="1"/>
      <c r="H61" s="1"/>
      <c r="I61" s="1"/>
    </row>
    <row r="62" spans="1:9" x14ac:dyDescent="0.25">
      <c r="A62" s="1">
        <v>1997</v>
      </c>
      <c r="B62" s="1">
        <v>8330</v>
      </c>
      <c r="C62" s="1">
        <v>0.16352941176470601</v>
      </c>
      <c r="D62" t="s">
        <v>3</v>
      </c>
      <c r="G62" s="1"/>
      <c r="H62" s="1"/>
      <c r="I62" s="1"/>
    </row>
    <row r="63" spans="1:9" x14ac:dyDescent="0.25">
      <c r="A63" s="1">
        <v>1998</v>
      </c>
      <c r="B63" s="1">
        <v>4003</v>
      </c>
      <c r="C63" s="1">
        <v>0.628235294117647</v>
      </c>
      <c r="D63" t="s">
        <v>3</v>
      </c>
      <c r="G63" s="1"/>
      <c r="H63" s="1"/>
      <c r="I63" s="1"/>
    </row>
    <row r="64" spans="1:9" x14ac:dyDescent="0.25">
      <c r="A64" s="1">
        <v>1999</v>
      </c>
      <c r="B64" s="1">
        <v>6067</v>
      </c>
      <c r="C64" s="1">
        <v>0.29132352941176498</v>
      </c>
      <c r="D64" t="s">
        <v>3</v>
      </c>
      <c r="G64" s="1"/>
      <c r="H64" s="1"/>
      <c r="I64" s="1"/>
    </row>
    <row r="65" spans="1:9" x14ac:dyDescent="0.25">
      <c r="A65" s="1">
        <v>2000</v>
      </c>
      <c r="B65" s="1">
        <v>5873</v>
      </c>
      <c r="C65" s="1">
        <v>0.314558823529412</v>
      </c>
      <c r="D65" t="s">
        <v>3</v>
      </c>
      <c r="G65" s="1"/>
      <c r="H65" s="1"/>
      <c r="I65" s="1"/>
    </row>
    <row r="66" spans="1:9" x14ac:dyDescent="0.25">
      <c r="A66" s="1">
        <v>2001</v>
      </c>
      <c r="B66" s="1">
        <v>1103</v>
      </c>
      <c r="C66" s="1">
        <v>0.97676470588235298</v>
      </c>
      <c r="D66" t="s">
        <v>3</v>
      </c>
      <c r="G66" s="1"/>
      <c r="H66" s="1"/>
      <c r="I66" s="1"/>
    </row>
    <row r="67" spans="1:9" x14ac:dyDescent="0.25">
      <c r="A67" s="1">
        <v>2002</v>
      </c>
      <c r="B67" s="1">
        <v>3180</v>
      </c>
      <c r="C67" s="1">
        <v>0.80249999999999999</v>
      </c>
      <c r="D67" t="s">
        <v>3</v>
      </c>
      <c r="G67" s="1"/>
      <c r="H67" s="1"/>
      <c r="I67" s="1"/>
    </row>
    <row r="68" spans="1:9" x14ac:dyDescent="0.25">
      <c r="A68" s="1">
        <v>2003</v>
      </c>
      <c r="B68" s="1">
        <v>4817</v>
      </c>
      <c r="C68" s="1">
        <v>0.38426470588235301</v>
      </c>
      <c r="D68" t="s">
        <v>3</v>
      </c>
      <c r="G68" s="1"/>
      <c r="H68" s="1"/>
      <c r="I68" s="1"/>
    </row>
    <row r="69" spans="1:9" x14ac:dyDescent="0.25">
      <c r="A69" s="1">
        <v>2004</v>
      </c>
      <c r="B69" s="1">
        <v>4340</v>
      </c>
      <c r="C69" s="1">
        <v>0.52367647058823497</v>
      </c>
      <c r="D69" t="s">
        <v>3</v>
      </c>
      <c r="G69" s="1"/>
      <c r="H69" s="1"/>
      <c r="I69" s="1"/>
    </row>
    <row r="70" spans="1:9" x14ac:dyDescent="0.25">
      <c r="A70" s="1">
        <v>2005</v>
      </c>
      <c r="B70" s="1">
        <v>4697</v>
      </c>
      <c r="C70" s="1">
        <v>0.41911764705882398</v>
      </c>
      <c r="D70" t="s">
        <v>3</v>
      </c>
      <c r="G70" s="1"/>
      <c r="H70" s="1"/>
      <c r="I70" s="1"/>
    </row>
    <row r="71" spans="1:9" x14ac:dyDescent="0.25">
      <c r="A71" s="1">
        <v>2006</v>
      </c>
      <c r="B71" s="1">
        <v>7663</v>
      </c>
      <c r="C71" s="1">
        <v>0.21</v>
      </c>
      <c r="D71" t="s">
        <v>3</v>
      </c>
      <c r="G71" s="1"/>
      <c r="H71" s="1"/>
      <c r="I71" s="1"/>
    </row>
    <row r="72" spans="1:9" x14ac:dyDescent="0.25">
      <c r="A72" s="1">
        <v>2007</v>
      </c>
      <c r="B72" s="1">
        <v>4463</v>
      </c>
      <c r="C72" s="1">
        <v>0.47720588235294098</v>
      </c>
      <c r="D72" t="s">
        <v>3</v>
      </c>
      <c r="G72" s="1"/>
      <c r="H72" s="1"/>
      <c r="I72" s="1"/>
    </row>
    <row r="73" spans="1:9" x14ac:dyDescent="0.25">
      <c r="A73" s="1">
        <v>2008</v>
      </c>
      <c r="B73" s="1">
        <v>3493</v>
      </c>
      <c r="C73" s="1">
        <v>0.744411764705882</v>
      </c>
      <c r="D73" t="s">
        <v>3</v>
      </c>
      <c r="G73" s="1"/>
      <c r="H73" s="1"/>
      <c r="I73" s="1"/>
    </row>
    <row r="74" spans="1:9" x14ac:dyDescent="0.25">
      <c r="A74" s="1">
        <v>2009</v>
      </c>
      <c r="B74" s="1">
        <v>4243</v>
      </c>
      <c r="C74" s="1">
        <v>0.55852941176470605</v>
      </c>
      <c r="D74" t="s">
        <v>3</v>
      </c>
      <c r="G74" s="1"/>
      <c r="H74" s="1"/>
      <c r="I74" s="1"/>
    </row>
    <row r="75" spans="1:9" x14ac:dyDescent="0.25">
      <c r="A75" s="1">
        <v>2010</v>
      </c>
      <c r="B75" s="1">
        <v>2500</v>
      </c>
      <c r="C75" s="1">
        <v>0.91867647058823498</v>
      </c>
      <c r="D75" t="s">
        <v>3</v>
      </c>
      <c r="G75" s="1"/>
      <c r="H75" s="1"/>
      <c r="I75" s="1"/>
    </row>
    <row r="76" spans="1:9" x14ac:dyDescent="0.25">
      <c r="A76" s="1">
        <v>2011</v>
      </c>
      <c r="B76" s="1">
        <v>7769</v>
      </c>
      <c r="C76" s="1">
        <v>0.19838235294117601</v>
      </c>
      <c r="D76" t="s">
        <v>3</v>
      </c>
      <c r="G76" s="1"/>
      <c r="H76" s="1"/>
      <c r="I76" s="1"/>
    </row>
    <row r="77" spans="1:9" x14ac:dyDescent="0.25">
      <c r="A77" s="1">
        <v>2012</v>
      </c>
      <c r="B77" s="1">
        <v>5506</v>
      </c>
      <c r="C77" s="1">
        <v>0.33779411764705902</v>
      </c>
      <c r="D77" t="s">
        <v>3</v>
      </c>
      <c r="G77" s="1"/>
      <c r="H77" s="1"/>
      <c r="I77" s="1"/>
    </row>
    <row r="78" spans="1:9" x14ac:dyDescent="0.25">
      <c r="A78" s="1">
        <v>2013</v>
      </c>
      <c r="B78" s="1">
        <v>4738</v>
      </c>
      <c r="C78" s="1">
        <v>0.40749999999999997</v>
      </c>
      <c r="D78" t="s">
        <v>3</v>
      </c>
      <c r="G78" s="1"/>
      <c r="H78" s="1"/>
      <c r="I78" s="1"/>
    </row>
    <row r="79" spans="1:9" x14ac:dyDescent="0.25">
      <c r="A79" s="1">
        <v>2014</v>
      </c>
      <c r="B79" s="1">
        <v>8028</v>
      </c>
      <c r="C79" s="1">
        <v>0.17514705882352899</v>
      </c>
      <c r="D79" t="s">
        <v>3</v>
      </c>
      <c r="G79" s="1"/>
      <c r="H79" s="1"/>
      <c r="I79" s="1"/>
    </row>
    <row r="80" spans="1:9" x14ac:dyDescent="0.25">
      <c r="A80" s="1">
        <v>2015</v>
      </c>
      <c r="B80" s="1">
        <v>8737</v>
      </c>
      <c r="C80" s="1">
        <v>0.11705882352941201</v>
      </c>
      <c r="D80" t="s">
        <v>3</v>
      </c>
      <c r="G80" s="1"/>
      <c r="H80" s="1"/>
      <c r="I80" s="1"/>
    </row>
    <row r="81" spans="1:9" x14ac:dyDescent="0.25">
      <c r="A81" s="1">
        <v>2016</v>
      </c>
      <c r="B81" s="1">
        <v>4078</v>
      </c>
      <c r="C81" s="1">
        <v>0.58176470588235296</v>
      </c>
      <c r="D81" t="s">
        <v>3</v>
      </c>
      <c r="G81" s="1"/>
      <c r="H81" s="1"/>
      <c r="I81" s="1"/>
    </row>
    <row r="82" spans="1:9" x14ac:dyDescent="0.25">
      <c r="A82" s="1">
        <v>2017</v>
      </c>
      <c r="B82" s="1">
        <v>3152</v>
      </c>
      <c r="C82" s="1">
        <v>0.81411764705882395</v>
      </c>
      <c r="D82" t="s">
        <v>3</v>
      </c>
      <c r="G82" s="1"/>
      <c r="H82" s="1"/>
      <c r="I82" s="1"/>
    </row>
    <row r="83" spans="1:9" x14ac:dyDescent="0.25">
      <c r="A83" s="1">
        <v>2018</v>
      </c>
      <c r="B83" s="1">
        <v>3007</v>
      </c>
      <c r="C83" s="1">
        <v>0.83735294117647097</v>
      </c>
      <c r="D83" t="s">
        <v>3</v>
      </c>
      <c r="G83" s="1"/>
      <c r="H83" s="1"/>
      <c r="I83" s="1"/>
    </row>
    <row r="84" spans="1:9" x14ac:dyDescent="0.25">
      <c r="A84" s="1">
        <v>2019</v>
      </c>
      <c r="B84" s="1">
        <v>2611</v>
      </c>
      <c r="C84" s="1">
        <v>0.90705882352941203</v>
      </c>
      <c r="D84" t="s">
        <v>3</v>
      </c>
      <c r="G84" s="1"/>
      <c r="H84" s="1"/>
      <c r="I84" s="1"/>
    </row>
    <row r="85" spans="1:9" x14ac:dyDescent="0.25">
      <c r="A85" s="1">
        <v>2020</v>
      </c>
      <c r="B85" s="1">
        <v>3359</v>
      </c>
      <c r="C85" s="1">
        <v>0.76764705882352902</v>
      </c>
      <c r="D85" t="s">
        <v>3</v>
      </c>
      <c r="G85" s="1"/>
      <c r="H85" s="1"/>
      <c r="I85" s="1"/>
    </row>
    <row r="86" spans="1:9" x14ac:dyDescent="0.25">
      <c r="A86" s="1">
        <v>2021</v>
      </c>
      <c r="B86" s="1">
        <v>3752</v>
      </c>
      <c r="C86" s="1">
        <v>0.66308823529411798</v>
      </c>
      <c r="D86" t="s">
        <v>3</v>
      </c>
      <c r="G86" s="1"/>
      <c r="H86" s="1"/>
      <c r="I86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9995-102F-4287-BB83-667F6A775E4B}">
  <dimension ref="A1:J38"/>
  <sheetViews>
    <sheetView tabSelected="1" workbookViewId="0">
      <selection activeCell="A2" sqref="A2:XFD17"/>
    </sheetView>
  </sheetViews>
  <sheetFormatPr defaultRowHeight="15" x14ac:dyDescent="0.25"/>
  <cols>
    <col min="1" max="1" width="51.42578125" bestFit="1" customWidth="1"/>
    <col min="2" max="2" width="12.5703125" bestFit="1" customWidth="1"/>
    <col min="3" max="3" width="12.140625" bestFit="1" customWidth="1"/>
    <col min="4" max="4" width="12.42578125" bestFit="1" customWidth="1"/>
    <col min="5" max="5" width="12.42578125" customWidth="1"/>
    <col min="6" max="8" width="13.7109375" bestFit="1" customWidth="1"/>
    <col min="9" max="9" width="42.42578125" bestFit="1" customWidth="1"/>
    <col min="10" max="10" width="30.7109375" customWidth="1"/>
  </cols>
  <sheetData>
    <row r="1" spans="1:10" x14ac:dyDescent="0.25">
      <c r="A1" t="s">
        <v>13</v>
      </c>
      <c r="B1" t="s">
        <v>14</v>
      </c>
      <c r="C1" t="s">
        <v>15</v>
      </c>
      <c r="D1" t="s">
        <v>16</v>
      </c>
      <c r="E1" t="s">
        <v>105</v>
      </c>
      <c r="F1" t="s">
        <v>17</v>
      </c>
      <c r="G1" t="s">
        <v>18</v>
      </c>
      <c r="H1" t="s">
        <v>19</v>
      </c>
      <c r="I1" t="s">
        <v>22</v>
      </c>
      <c r="J1" t="s">
        <v>20</v>
      </c>
    </row>
    <row r="2" spans="1:10" x14ac:dyDescent="0.25">
      <c r="A2" t="s">
        <v>108</v>
      </c>
      <c r="B2">
        <v>3.6728999999999998</v>
      </c>
      <c r="C2">
        <v>0.21010000000000001</v>
      </c>
      <c r="D2">
        <v>0.105</v>
      </c>
      <c r="E2">
        <v>275</v>
      </c>
      <c r="F2" s="2">
        <v>1545.95774287215</v>
      </c>
      <c r="G2" s="2">
        <v>1553.2501932686801</v>
      </c>
      <c r="H2" s="2">
        <v>921.86989342183495</v>
      </c>
      <c r="I2" t="s">
        <v>29</v>
      </c>
      <c r="J2" t="s">
        <v>104</v>
      </c>
    </row>
    <row r="3" spans="1:10" x14ac:dyDescent="0.25">
      <c r="A3" t="s">
        <v>90</v>
      </c>
      <c r="B3" s="2">
        <v>3.6697000000000002</v>
      </c>
      <c r="C3" s="2">
        <v>0.2092</v>
      </c>
      <c r="D3" s="2">
        <v>0.18790000000000001</v>
      </c>
      <c r="E3">
        <v>80</v>
      </c>
      <c r="F3" s="2">
        <v>1539.7963592307999</v>
      </c>
      <c r="G3" s="2">
        <v>1547.05288105419</v>
      </c>
      <c r="H3" s="2">
        <v>685.741503803824</v>
      </c>
      <c r="I3" t="s">
        <v>23</v>
      </c>
      <c r="J3" t="s">
        <v>24</v>
      </c>
    </row>
    <row r="4" spans="1:10" x14ac:dyDescent="0.25">
      <c r="A4" t="s">
        <v>91</v>
      </c>
      <c r="B4" s="2">
        <v>3.6745999999999999</v>
      </c>
      <c r="C4" s="2">
        <v>0.21179999999999999</v>
      </c>
      <c r="D4" s="2">
        <v>0.18759999999999999</v>
      </c>
      <c r="E4">
        <v>100</v>
      </c>
      <c r="F4" s="2">
        <v>1547.51668593144</v>
      </c>
      <c r="G4" s="2">
        <v>1554.80913632797</v>
      </c>
      <c r="H4" s="2">
        <v>563.08522812573199</v>
      </c>
      <c r="I4" t="s">
        <v>25</v>
      </c>
      <c r="J4" t="s">
        <v>35</v>
      </c>
    </row>
    <row r="5" spans="1:10" x14ac:dyDescent="0.25">
      <c r="A5" t="s">
        <v>92</v>
      </c>
      <c r="B5" s="2">
        <v>3.6863000000000001</v>
      </c>
      <c r="C5" s="2">
        <v>0.22589999999999999</v>
      </c>
      <c r="D5" s="2">
        <v>0.31580000000000003</v>
      </c>
      <c r="E5">
        <v>300</v>
      </c>
      <c r="F5" s="2">
        <v>1588.7561934682301</v>
      </c>
      <c r="G5" s="2">
        <v>1596.1882039116599</v>
      </c>
      <c r="H5" s="2">
        <v>1231.9901806724399</v>
      </c>
      <c r="I5" t="s">
        <v>26</v>
      </c>
      <c r="J5" t="s">
        <v>36</v>
      </c>
    </row>
    <row r="6" spans="1:10" x14ac:dyDescent="0.25">
      <c r="A6" t="s">
        <v>89</v>
      </c>
      <c r="B6" s="2">
        <v>3.673</v>
      </c>
      <c r="C6" s="2">
        <v>0.2107</v>
      </c>
      <c r="D6" s="2">
        <v>0.10349999999999999</v>
      </c>
      <c r="E6">
        <v>200</v>
      </c>
      <c r="F6" s="2">
        <v>1546.3296504161799</v>
      </c>
      <c r="G6" s="2">
        <v>1553.62210081271</v>
      </c>
      <c r="H6" s="2">
        <v>634.13525294004899</v>
      </c>
      <c r="I6" t="s">
        <v>25</v>
      </c>
      <c r="J6" t="s">
        <v>37</v>
      </c>
    </row>
    <row r="7" spans="1:10" x14ac:dyDescent="0.25">
      <c r="A7" t="s">
        <v>93</v>
      </c>
      <c r="B7" s="2">
        <v>3.6707999999999998</v>
      </c>
      <c r="C7" s="2">
        <v>0.2092</v>
      </c>
      <c r="D7" s="2">
        <v>0.1128</v>
      </c>
      <c r="E7">
        <v>200</v>
      </c>
      <c r="F7" s="2">
        <v>1548.1098614344401</v>
      </c>
      <c r="G7" s="2">
        <v>1555.4023118309699</v>
      </c>
      <c r="H7" s="2">
        <v>651.86536208813402</v>
      </c>
      <c r="I7" t="s">
        <v>3</v>
      </c>
      <c r="J7" t="s">
        <v>36</v>
      </c>
    </row>
    <row r="8" spans="1:10" x14ac:dyDescent="0.25">
      <c r="A8" t="s">
        <v>94</v>
      </c>
      <c r="B8" s="2">
        <v>3.6884999999999999</v>
      </c>
      <c r="C8" s="2">
        <v>0.19489999999999999</v>
      </c>
      <c r="D8" s="2">
        <v>0.18579999999999999</v>
      </c>
      <c r="E8">
        <v>100</v>
      </c>
      <c r="F8" s="2">
        <v>1724.7385450265299</v>
      </c>
      <c r="G8" s="2">
        <v>1732.3684293733399</v>
      </c>
      <c r="H8" s="2">
        <v>684.22441218741903</v>
      </c>
      <c r="I8" t="s">
        <v>12</v>
      </c>
      <c r="J8" t="s">
        <v>21</v>
      </c>
    </row>
    <row r="9" spans="1:10" x14ac:dyDescent="0.25">
      <c r="A9" t="s">
        <v>95</v>
      </c>
      <c r="B9" s="2">
        <v>3.6903999999999999</v>
      </c>
      <c r="C9" s="2">
        <v>0.19700000000000001</v>
      </c>
      <c r="D9" s="2">
        <v>0.16539999999999999</v>
      </c>
      <c r="E9">
        <v>160</v>
      </c>
      <c r="F9" s="2">
        <v>1733.16255498799</v>
      </c>
      <c r="G9" s="2">
        <v>1740.8241856627899</v>
      </c>
      <c r="H9" s="2">
        <v>593.84434597449501</v>
      </c>
      <c r="I9" t="s">
        <v>32</v>
      </c>
      <c r="J9" t="s">
        <v>40</v>
      </c>
    </row>
    <row r="10" spans="1:10" x14ac:dyDescent="0.25">
      <c r="A10" t="s">
        <v>106</v>
      </c>
      <c r="B10" s="2">
        <v>3.6934999999999998</v>
      </c>
      <c r="C10" s="2">
        <v>0.1988</v>
      </c>
      <c r="D10" s="2">
        <v>0.156</v>
      </c>
      <c r="E10">
        <v>90</v>
      </c>
      <c r="F10" s="2">
        <v>1473.35357736689</v>
      </c>
      <c r="G10" s="2">
        <v>1480.4996572709099</v>
      </c>
      <c r="H10" s="2">
        <v>784.24344390519502</v>
      </c>
      <c r="I10" t="s">
        <v>30</v>
      </c>
      <c r="J10" t="s">
        <v>38</v>
      </c>
    </row>
    <row r="11" spans="1:10" x14ac:dyDescent="0.25">
      <c r="A11" t="s">
        <v>107</v>
      </c>
      <c r="B11" s="2">
        <v>3.6905999999999999</v>
      </c>
      <c r="C11" s="2">
        <v>0.1953</v>
      </c>
      <c r="D11" s="2">
        <v>9.3100000000000002E-2</v>
      </c>
      <c r="E11">
        <v>120</v>
      </c>
      <c r="F11" s="2">
        <v>1482.0598812528201</v>
      </c>
      <c r="G11" s="2">
        <v>1489.2432287168299</v>
      </c>
      <c r="H11" s="2">
        <v>568.63568134988702</v>
      </c>
      <c r="I11" t="s">
        <v>31</v>
      </c>
      <c r="J11" t="s">
        <v>39</v>
      </c>
    </row>
    <row r="12" spans="1:10" x14ac:dyDescent="0.25">
      <c r="A12" t="s">
        <v>98</v>
      </c>
      <c r="B12" s="2">
        <v>3.6835</v>
      </c>
      <c r="C12" s="2">
        <v>0.22140000000000001</v>
      </c>
      <c r="D12" s="2">
        <v>0.1835</v>
      </c>
      <c r="E12">
        <v>450</v>
      </c>
      <c r="F12" s="2">
        <v>1589.7899939707399</v>
      </c>
      <c r="G12" s="2">
        <v>1597.22200441418</v>
      </c>
      <c r="H12" s="2">
        <v>1918.94935565898</v>
      </c>
      <c r="I12" t="s">
        <v>26</v>
      </c>
      <c r="J12" t="s">
        <v>41</v>
      </c>
    </row>
    <row r="13" spans="1:10" x14ac:dyDescent="0.25">
      <c r="A13" t="s">
        <v>99</v>
      </c>
      <c r="B13" s="2">
        <v>3.6728000000000001</v>
      </c>
      <c r="C13" s="2">
        <v>0.2107</v>
      </c>
      <c r="D13" s="2">
        <v>8.1000000000000003E-2</v>
      </c>
      <c r="E13">
        <v>350</v>
      </c>
      <c r="F13" s="2">
        <v>1546.86756297139</v>
      </c>
      <c r="G13" s="2">
        <v>1554.1600133679201</v>
      </c>
      <c r="H13" s="2">
        <v>652.00564271712301</v>
      </c>
      <c r="I13" t="s">
        <v>3</v>
      </c>
      <c r="J13" t="s">
        <v>42</v>
      </c>
    </row>
    <row r="14" spans="1:10" x14ac:dyDescent="0.25">
      <c r="A14" t="s">
        <v>100</v>
      </c>
      <c r="B14" s="2">
        <v>3.6873</v>
      </c>
      <c r="C14" s="2">
        <v>0.22209999999999999</v>
      </c>
      <c r="D14" s="2">
        <v>0.2034</v>
      </c>
      <c r="E14" s="5">
        <v>300</v>
      </c>
      <c r="F14" s="2">
        <v>1589.1098934229401</v>
      </c>
      <c r="G14" s="2">
        <v>1596.5419038663799</v>
      </c>
      <c r="H14" s="2">
        <v>2238.9202077649402</v>
      </c>
      <c r="I14" t="s">
        <v>27</v>
      </c>
      <c r="J14" t="s">
        <v>43</v>
      </c>
    </row>
    <row r="15" spans="1:10" x14ac:dyDescent="0.25">
      <c r="A15" t="s">
        <v>101</v>
      </c>
      <c r="B15" s="2">
        <v>3.6817000000000002</v>
      </c>
      <c r="C15" s="2">
        <v>0.21809999999999999</v>
      </c>
      <c r="D15" s="2">
        <v>0.13769999999999999</v>
      </c>
      <c r="E15" s="5">
        <v>400</v>
      </c>
      <c r="F15" s="2">
        <v>1577.2504084935199</v>
      </c>
      <c r="G15" s="2">
        <v>1584.6481328494899</v>
      </c>
      <c r="H15" s="2">
        <v>1180.96254398318</v>
      </c>
      <c r="I15" t="s">
        <v>28</v>
      </c>
      <c r="J15" t="s">
        <v>44</v>
      </c>
    </row>
    <row r="16" spans="1:10" x14ac:dyDescent="0.25">
      <c r="A16" t="s">
        <v>109</v>
      </c>
      <c r="B16" s="2">
        <v>3.6745999999999999</v>
      </c>
      <c r="C16" s="2">
        <v>0.2112</v>
      </c>
      <c r="D16" s="2">
        <v>0.1196</v>
      </c>
      <c r="E16">
        <v>300</v>
      </c>
      <c r="F16" s="2">
        <v>1546.42453303651</v>
      </c>
      <c r="G16" s="2">
        <v>1553.71698343304</v>
      </c>
      <c r="H16" s="2">
        <v>639.829874628222</v>
      </c>
      <c r="I16" t="s">
        <v>33</v>
      </c>
      <c r="J16" t="s">
        <v>87</v>
      </c>
    </row>
    <row r="17" spans="1:10" x14ac:dyDescent="0.25">
      <c r="A17" t="s">
        <v>103</v>
      </c>
      <c r="B17" s="2">
        <v>3.6756000000000002</v>
      </c>
      <c r="C17" s="2">
        <v>0.2114</v>
      </c>
      <c r="D17" s="2">
        <v>0.1003</v>
      </c>
      <c r="E17">
        <v>250</v>
      </c>
      <c r="F17" s="2">
        <v>1545.9373660763599</v>
      </c>
      <c r="G17" s="2">
        <v>1553.22981647289</v>
      </c>
      <c r="H17" s="2">
        <v>925.72844835323804</v>
      </c>
      <c r="I17" t="s">
        <v>34</v>
      </c>
      <c r="J17" t="s">
        <v>87</v>
      </c>
    </row>
    <row r="18" spans="1:10" x14ac:dyDescent="0.25">
      <c r="B18" s="2"/>
      <c r="C18" s="2"/>
      <c r="D18" s="2"/>
      <c r="F18" s="2"/>
      <c r="G18" s="2"/>
      <c r="H18" s="2"/>
    </row>
    <row r="22" spans="1:10" x14ac:dyDescent="0.25">
      <c r="A22" s="6"/>
      <c r="B22" s="6"/>
      <c r="C22" s="6"/>
      <c r="D22" s="6"/>
      <c r="E22" s="4"/>
    </row>
    <row r="23" spans="1:10" x14ac:dyDescent="0.25">
      <c r="B23" s="2"/>
      <c r="C23" s="2"/>
      <c r="D23" s="2"/>
      <c r="E23" s="2"/>
    </row>
    <row r="24" spans="1:10" x14ac:dyDescent="0.25">
      <c r="B24" s="2"/>
      <c r="C24" s="2"/>
      <c r="D24" s="2"/>
      <c r="E24" s="2"/>
    </row>
    <row r="25" spans="1:10" x14ac:dyDescent="0.25">
      <c r="B25" s="2"/>
      <c r="C25" s="2"/>
      <c r="D25" s="2"/>
      <c r="E25" s="2"/>
    </row>
    <row r="26" spans="1:10" x14ac:dyDescent="0.25">
      <c r="B26" s="2"/>
      <c r="C26" s="2"/>
      <c r="D26" s="2"/>
      <c r="E26" s="2"/>
    </row>
    <row r="27" spans="1:10" x14ac:dyDescent="0.25">
      <c r="B27" s="2"/>
      <c r="C27" s="2"/>
      <c r="D27" s="2"/>
      <c r="E27" s="2"/>
    </row>
    <row r="28" spans="1:10" x14ac:dyDescent="0.25">
      <c r="B28" s="2"/>
      <c r="C28" s="2"/>
      <c r="D28" s="2"/>
      <c r="E28" s="2"/>
    </row>
    <row r="29" spans="1:10" x14ac:dyDescent="0.25">
      <c r="B29" s="3"/>
      <c r="C29" s="3"/>
      <c r="D29" s="3"/>
      <c r="E29" s="3"/>
    </row>
    <row r="30" spans="1:10" x14ac:dyDescent="0.25">
      <c r="B30" s="2"/>
      <c r="C30" s="2"/>
      <c r="D30" s="2"/>
      <c r="E30" s="2"/>
    </row>
    <row r="31" spans="1:10" x14ac:dyDescent="0.25">
      <c r="B31" s="2"/>
      <c r="C31" s="2"/>
      <c r="D31" s="2"/>
      <c r="E31" s="2"/>
    </row>
    <row r="32" spans="1:10" x14ac:dyDescent="0.25">
      <c r="B32" s="2"/>
      <c r="C32" s="2"/>
      <c r="D32" s="2"/>
      <c r="E32" s="2"/>
    </row>
    <row r="33" spans="2:5" x14ac:dyDescent="0.25">
      <c r="B33" s="2"/>
      <c r="C33" s="2"/>
      <c r="D33" s="2"/>
      <c r="E33" s="2"/>
    </row>
    <row r="34" spans="2:5" x14ac:dyDescent="0.25">
      <c r="B34" s="2"/>
      <c r="C34" s="2"/>
      <c r="D34" s="2"/>
      <c r="E34" s="2"/>
    </row>
    <row r="35" spans="2:5" x14ac:dyDescent="0.25">
      <c r="B35" s="2"/>
      <c r="C35" s="2"/>
      <c r="D35" s="2"/>
      <c r="E35" s="2"/>
    </row>
    <row r="36" spans="2:5" x14ac:dyDescent="0.25">
      <c r="B36" s="2"/>
      <c r="C36" s="2"/>
      <c r="D36" s="2"/>
      <c r="E36" s="2"/>
    </row>
    <row r="37" spans="2:5" x14ac:dyDescent="0.25">
      <c r="B37" s="2"/>
      <c r="C37" s="2"/>
      <c r="D37" s="2"/>
      <c r="E37" s="2"/>
    </row>
    <row r="38" spans="2:5" x14ac:dyDescent="0.25">
      <c r="B38" s="2"/>
      <c r="C38" s="2"/>
      <c r="D38" s="2"/>
      <c r="E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A6896-146C-464A-95FC-EEAEA891E427}">
  <dimension ref="A1:I17"/>
  <sheetViews>
    <sheetView workbookViewId="0">
      <selection activeCell="B3" sqref="B3"/>
    </sheetView>
  </sheetViews>
  <sheetFormatPr defaultRowHeight="15" x14ac:dyDescent="0.25"/>
  <cols>
    <col min="1" max="1" width="47.7109375" bestFit="1" customWidth="1"/>
    <col min="2" max="2" width="42.42578125" bestFit="1" customWidth="1"/>
    <col min="3" max="3" width="10" bestFit="1" customWidth="1"/>
    <col min="4" max="4" width="13.28515625" bestFit="1" customWidth="1"/>
    <col min="5" max="5" width="30.5703125" bestFit="1" customWidth="1"/>
    <col min="6" max="6" width="18.7109375" bestFit="1" customWidth="1"/>
    <col min="7" max="7" width="19.7109375" bestFit="1" customWidth="1"/>
    <col min="8" max="8" width="14.85546875" bestFit="1" customWidth="1"/>
    <col min="15" max="15" width="16.140625" bestFit="1" customWidth="1"/>
  </cols>
  <sheetData>
    <row r="1" spans="1:9" x14ac:dyDescent="0.25">
      <c r="A1" t="s">
        <v>13</v>
      </c>
      <c r="B1" t="s">
        <v>22</v>
      </c>
      <c r="C1" t="s">
        <v>47</v>
      </c>
      <c r="D1" t="s">
        <v>50</v>
      </c>
      <c r="E1" t="s">
        <v>53</v>
      </c>
      <c r="F1" t="s">
        <v>55</v>
      </c>
      <c r="G1" t="s">
        <v>57</v>
      </c>
      <c r="H1" t="s">
        <v>73</v>
      </c>
      <c r="I1" t="s">
        <v>72</v>
      </c>
    </row>
    <row r="2" spans="1:9" x14ac:dyDescent="0.25">
      <c r="A2" t="s">
        <v>88</v>
      </c>
      <c r="B2" t="s">
        <v>29</v>
      </c>
      <c r="C2" t="s">
        <v>49</v>
      </c>
      <c r="D2" t="s">
        <v>53</v>
      </c>
      <c r="E2" t="s">
        <v>64</v>
      </c>
      <c r="F2" t="s">
        <v>56</v>
      </c>
      <c r="G2" t="s">
        <v>62</v>
      </c>
      <c r="H2" t="s">
        <v>70</v>
      </c>
    </row>
    <row r="3" spans="1:9" x14ac:dyDescent="0.25">
      <c r="A3" t="s">
        <v>90</v>
      </c>
      <c r="B3" t="s">
        <v>23</v>
      </c>
      <c r="C3" t="s">
        <v>49</v>
      </c>
      <c r="D3" t="s">
        <v>51</v>
      </c>
      <c r="E3" t="s">
        <v>54</v>
      </c>
      <c r="F3" t="s">
        <v>54</v>
      </c>
      <c r="G3" t="s">
        <v>59</v>
      </c>
      <c r="H3" t="s">
        <v>50</v>
      </c>
    </row>
    <row r="4" spans="1:9" x14ac:dyDescent="0.25">
      <c r="A4" t="s">
        <v>91</v>
      </c>
      <c r="B4" t="s">
        <v>25</v>
      </c>
      <c r="C4" t="s">
        <v>49</v>
      </c>
      <c r="D4" t="s">
        <v>52</v>
      </c>
      <c r="E4" t="s">
        <v>54</v>
      </c>
      <c r="F4" t="s">
        <v>54</v>
      </c>
      <c r="G4" t="s">
        <v>60</v>
      </c>
      <c r="H4" t="s">
        <v>50</v>
      </c>
    </row>
    <row r="5" spans="1:9" x14ac:dyDescent="0.25">
      <c r="A5" t="s">
        <v>92</v>
      </c>
      <c r="B5" t="s">
        <v>26</v>
      </c>
      <c r="C5" t="s">
        <v>49</v>
      </c>
      <c r="D5" t="s">
        <v>53</v>
      </c>
      <c r="E5" t="s">
        <v>65</v>
      </c>
      <c r="F5" t="s">
        <v>54</v>
      </c>
      <c r="G5" t="s">
        <v>61</v>
      </c>
      <c r="H5" t="s">
        <v>50</v>
      </c>
      <c r="I5" t="s">
        <v>71</v>
      </c>
    </row>
    <row r="6" spans="1:9" x14ac:dyDescent="0.25">
      <c r="A6" t="s">
        <v>89</v>
      </c>
      <c r="B6" t="s">
        <v>25</v>
      </c>
      <c r="C6" t="s">
        <v>49</v>
      </c>
      <c r="D6" t="s">
        <v>52</v>
      </c>
      <c r="E6" t="s">
        <v>54</v>
      </c>
      <c r="F6" t="s">
        <v>56</v>
      </c>
      <c r="G6" t="s">
        <v>63</v>
      </c>
      <c r="H6" t="s">
        <v>50</v>
      </c>
      <c r="I6" t="s">
        <v>74</v>
      </c>
    </row>
    <row r="7" spans="1:9" x14ac:dyDescent="0.25">
      <c r="A7" t="s">
        <v>93</v>
      </c>
      <c r="B7" t="s">
        <v>3</v>
      </c>
      <c r="C7" t="s">
        <v>49</v>
      </c>
      <c r="D7" t="s">
        <v>53</v>
      </c>
      <c r="E7" t="s">
        <v>64</v>
      </c>
      <c r="F7" t="s">
        <v>54</v>
      </c>
      <c r="G7" t="s">
        <v>61</v>
      </c>
      <c r="H7" t="s">
        <v>50</v>
      </c>
      <c r="I7" t="s">
        <v>71</v>
      </c>
    </row>
    <row r="8" spans="1:9" x14ac:dyDescent="0.25">
      <c r="A8" t="s">
        <v>94</v>
      </c>
      <c r="B8" t="s">
        <v>12</v>
      </c>
      <c r="C8" t="s">
        <v>48</v>
      </c>
      <c r="D8" t="s">
        <v>51</v>
      </c>
      <c r="E8" t="s">
        <v>54</v>
      </c>
      <c r="F8" t="s">
        <v>54</v>
      </c>
      <c r="G8" t="s">
        <v>59</v>
      </c>
      <c r="H8" t="s">
        <v>45</v>
      </c>
    </row>
    <row r="9" spans="1:9" x14ac:dyDescent="0.25">
      <c r="A9" t="s">
        <v>95</v>
      </c>
      <c r="B9" t="s">
        <v>32</v>
      </c>
      <c r="C9" t="s">
        <v>48</v>
      </c>
      <c r="D9" t="s">
        <v>52</v>
      </c>
      <c r="E9" t="s">
        <v>54</v>
      </c>
      <c r="F9" t="s">
        <v>54</v>
      </c>
      <c r="G9" t="s">
        <v>60</v>
      </c>
      <c r="H9" t="s">
        <v>45</v>
      </c>
    </row>
    <row r="10" spans="1:9" x14ac:dyDescent="0.25">
      <c r="A10" t="s">
        <v>96</v>
      </c>
      <c r="B10" t="s">
        <v>30</v>
      </c>
      <c r="C10" t="s">
        <v>48</v>
      </c>
      <c r="D10" t="s">
        <v>51</v>
      </c>
      <c r="E10" t="s">
        <v>54</v>
      </c>
      <c r="F10" t="s">
        <v>54</v>
      </c>
      <c r="G10" t="s">
        <v>59</v>
      </c>
      <c r="H10" t="s">
        <v>46</v>
      </c>
    </row>
    <row r="11" spans="1:9" x14ac:dyDescent="0.25">
      <c r="A11" t="s">
        <v>97</v>
      </c>
      <c r="B11" t="s">
        <v>31</v>
      </c>
      <c r="C11" t="s">
        <v>48</v>
      </c>
      <c r="D11" t="s">
        <v>52</v>
      </c>
      <c r="E11" t="s">
        <v>54</v>
      </c>
      <c r="F11" t="s">
        <v>54</v>
      </c>
      <c r="G11" t="s">
        <v>60</v>
      </c>
      <c r="H11" t="s">
        <v>46</v>
      </c>
    </row>
    <row r="12" spans="1:9" x14ac:dyDescent="0.25">
      <c r="A12" t="s">
        <v>98</v>
      </c>
      <c r="B12" t="s">
        <v>26</v>
      </c>
      <c r="C12" t="s">
        <v>49</v>
      </c>
      <c r="D12" t="s">
        <v>53</v>
      </c>
      <c r="E12" t="s">
        <v>65</v>
      </c>
      <c r="F12" t="s">
        <v>56</v>
      </c>
      <c r="G12" t="s">
        <v>62</v>
      </c>
      <c r="H12" t="s">
        <v>71</v>
      </c>
    </row>
    <row r="13" spans="1:9" x14ac:dyDescent="0.25">
      <c r="A13" t="s">
        <v>99</v>
      </c>
      <c r="B13" t="s">
        <v>3</v>
      </c>
      <c r="C13" t="s">
        <v>49</v>
      </c>
      <c r="D13" t="s">
        <v>53</v>
      </c>
      <c r="E13" t="s">
        <v>64</v>
      </c>
      <c r="F13" t="s">
        <v>56</v>
      </c>
      <c r="G13" t="s">
        <v>62</v>
      </c>
      <c r="H13" t="s">
        <v>71</v>
      </c>
    </row>
    <row r="14" spans="1:9" x14ac:dyDescent="0.25">
      <c r="A14" t="s">
        <v>100</v>
      </c>
      <c r="B14" t="s">
        <v>27</v>
      </c>
      <c r="C14" t="s">
        <v>49</v>
      </c>
      <c r="D14" t="s">
        <v>53</v>
      </c>
      <c r="E14" t="s">
        <v>66</v>
      </c>
      <c r="F14" t="s">
        <v>56</v>
      </c>
      <c r="G14" t="s">
        <v>62</v>
      </c>
      <c r="H14" t="s">
        <v>71</v>
      </c>
    </row>
    <row r="15" spans="1:9" x14ac:dyDescent="0.25">
      <c r="A15" t="s">
        <v>101</v>
      </c>
      <c r="B15" t="s">
        <v>28</v>
      </c>
      <c r="C15" t="s">
        <v>49</v>
      </c>
      <c r="D15" t="s">
        <v>53</v>
      </c>
      <c r="E15" t="s">
        <v>67</v>
      </c>
      <c r="F15" t="s">
        <v>56</v>
      </c>
      <c r="G15" t="s">
        <v>62</v>
      </c>
      <c r="H15" t="s">
        <v>71</v>
      </c>
    </row>
    <row r="16" spans="1:9" x14ac:dyDescent="0.25">
      <c r="A16" t="s">
        <v>102</v>
      </c>
      <c r="B16" t="s">
        <v>33</v>
      </c>
      <c r="C16" t="s">
        <v>49</v>
      </c>
      <c r="D16" t="s">
        <v>58</v>
      </c>
      <c r="E16" t="s">
        <v>68</v>
      </c>
      <c r="F16" t="s">
        <v>56</v>
      </c>
      <c r="G16" t="s">
        <v>62</v>
      </c>
      <c r="H16" t="s">
        <v>71</v>
      </c>
      <c r="I16" t="s">
        <v>86</v>
      </c>
    </row>
    <row r="17" spans="1:9" x14ac:dyDescent="0.25">
      <c r="A17" t="s">
        <v>103</v>
      </c>
      <c r="B17" t="s">
        <v>34</v>
      </c>
      <c r="C17" t="s">
        <v>49</v>
      </c>
      <c r="D17" t="s">
        <v>58</v>
      </c>
      <c r="E17" t="s">
        <v>69</v>
      </c>
      <c r="F17" t="s">
        <v>56</v>
      </c>
      <c r="G17" t="s">
        <v>62</v>
      </c>
      <c r="H17" t="s">
        <v>71</v>
      </c>
      <c r="I17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54A2C-A9F5-40BB-917B-5DBF86C629E2}">
  <dimension ref="A1:C17"/>
  <sheetViews>
    <sheetView workbookViewId="0">
      <selection activeCell="D31" sqref="D31"/>
    </sheetView>
  </sheetViews>
  <sheetFormatPr defaultRowHeight="15" x14ac:dyDescent="0.25"/>
  <cols>
    <col min="1" max="1" width="45.7109375" bestFit="1" customWidth="1"/>
    <col min="2" max="2" width="44.85546875" bestFit="1" customWidth="1"/>
    <col min="12" max="12" width="44.85546875" bestFit="1" customWidth="1"/>
  </cols>
  <sheetData>
    <row r="1" spans="1:3" x14ac:dyDescent="0.25">
      <c r="A1" t="s">
        <v>85</v>
      </c>
      <c r="B1" t="s">
        <v>75</v>
      </c>
    </row>
    <row r="2" spans="1:3" x14ac:dyDescent="0.25">
      <c r="A2" t="s">
        <v>88</v>
      </c>
      <c r="B2" t="s">
        <v>81</v>
      </c>
      <c r="C2" t="s">
        <v>70</v>
      </c>
    </row>
    <row r="3" spans="1:3" x14ac:dyDescent="0.25">
      <c r="A3" t="s">
        <v>90</v>
      </c>
      <c r="B3" t="s">
        <v>84</v>
      </c>
    </row>
    <row r="4" spans="1:3" x14ac:dyDescent="0.25">
      <c r="A4" t="s">
        <v>91</v>
      </c>
      <c r="B4" t="s">
        <v>76</v>
      </c>
    </row>
    <row r="5" spans="1:3" x14ac:dyDescent="0.25">
      <c r="A5" t="s">
        <v>92</v>
      </c>
      <c r="B5" t="s">
        <v>77</v>
      </c>
    </row>
    <row r="6" spans="1:3" x14ac:dyDescent="0.25">
      <c r="A6" t="s">
        <v>89</v>
      </c>
      <c r="B6" t="s">
        <v>83</v>
      </c>
    </row>
    <row r="7" spans="1:3" x14ac:dyDescent="0.25">
      <c r="A7" t="s">
        <v>93</v>
      </c>
    </row>
    <row r="8" spans="1:3" x14ac:dyDescent="0.25">
      <c r="A8" t="s">
        <v>94</v>
      </c>
    </row>
    <row r="9" spans="1:3" x14ac:dyDescent="0.25">
      <c r="A9" t="s">
        <v>95</v>
      </c>
    </row>
    <row r="10" spans="1:3" x14ac:dyDescent="0.25">
      <c r="A10" t="s">
        <v>96</v>
      </c>
    </row>
    <row r="11" spans="1:3" x14ac:dyDescent="0.25">
      <c r="A11" t="s">
        <v>97</v>
      </c>
    </row>
    <row r="12" spans="1:3" x14ac:dyDescent="0.25">
      <c r="A12" t="s">
        <v>98</v>
      </c>
      <c r="B12" t="s">
        <v>78</v>
      </c>
    </row>
    <row r="13" spans="1:3" x14ac:dyDescent="0.25">
      <c r="A13" t="s">
        <v>99</v>
      </c>
      <c r="B13" t="s">
        <v>79</v>
      </c>
    </row>
    <row r="14" spans="1:3" x14ac:dyDescent="0.25">
      <c r="A14" t="s">
        <v>100</v>
      </c>
    </row>
    <row r="15" spans="1:3" x14ac:dyDescent="0.25">
      <c r="A15" t="s">
        <v>101</v>
      </c>
    </row>
    <row r="16" spans="1:3" x14ac:dyDescent="0.25">
      <c r="A16" t="s">
        <v>102</v>
      </c>
      <c r="B16" t="s">
        <v>80</v>
      </c>
    </row>
    <row r="17" spans="1:2" x14ac:dyDescent="0.25">
      <c r="A17" t="s">
        <v>103</v>
      </c>
      <c r="B1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Paleo_NoPSI</vt:lpstr>
      <vt:lpstr>Paleo_NoPSI EXT</vt:lpstr>
      <vt:lpstr>Analyses</vt:lpstr>
      <vt:lpstr>Sensitivity Determination</vt:lpstr>
      <vt:lpstr>RFA VFCs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McGraw, Daniel E CIV USARMY CEIWR (USA)</dc:creator>
  <cp:lastModifiedBy>McGraw, Daniel E CIV USARMY CEIWR (USA)</cp:lastModifiedBy>
  <dcterms:created xsi:type="dcterms:W3CDTF">2025-11-28T16:41:00Z</dcterms:created>
  <dcterms:modified xsi:type="dcterms:W3CDTF">2025-12-01T21:40:54Z</dcterms:modified>
</cp:coreProperties>
</file>